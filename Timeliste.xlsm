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ge\OneDrive\Skrivebord\"/>
    </mc:Choice>
  </mc:AlternateContent>
  <xr:revisionPtr revIDLastSave="0" documentId="13_ncr:1_{7D958202-D155-4B19-823C-2F3AB90597A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nsatt1" sheetId="20" r:id="rId1"/>
    <sheet name="Ansatt2" sheetId="19" r:id="rId2"/>
    <sheet name="Ansatt3" sheetId="17" r:id="rId3"/>
    <sheet name="Ansatt4" sheetId="2" r:id="rId4"/>
    <sheet name="Ansatt5" sheetId="15" r:id="rId5"/>
    <sheet name="Ansatt6" sheetId="16" r:id="rId6"/>
    <sheet name="Ansatt7" sheetId="18" r:id="rId7"/>
    <sheet name="AddProjects" sheetId="14" r:id="rId8"/>
    <sheet name="PrintSum" sheetId="22" r:id="rId9"/>
  </sheets>
  <externalReferences>
    <externalReference r:id="rId10"/>
  </externalReferences>
  <definedNames>
    <definedName name="_xlnm._FilterDatabase" localSheetId="7" hidden="1">AddProjects!$A:$A</definedName>
    <definedName name="_xlnm._FilterDatabase" localSheetId="0" hidden="1">Ansatt1!$A$8:$AH$47</definedName>
    <definedName name="_xlnm._FilterDatabase" localSheetId="1" hidden="1">Ansatt2!$A$8:$AH$47</definedName>
    <definedName name="_xlnm._FilterDatabase" localSheetId="2" hidden="1">Ansatt3!$A$8:$AH$47</definedName>
    <definedName name="_xlnm._FilterDatabase" localSheetId="3" hidden="1">Ansatt4!$A$8:$AH$47</definedName>
    <definedName name="_xlnm._FilterDatabase" localSheetId="4" hidden="1">Ansatt5!$A$8:$AH$47</definedName>
    <definedName name="_xlnm._FilterDatabase" localSheetId="5" hidden="1">Ansatt6!$A$8:$AH$47</definedName>
    <definedName name="_xlnm._FilterDatabase" localSheetId="6" hidden="1">Ansatt7!$A$8:$AH$47</definedName>
    <definedName name="_xlnm.Criteria" localSheetId="7">AddProjects!$B:$B</definedName>
    <definedName name="_xlnm.Print_Area" localSheetId="0">Ansatt1!$L$58</definedName>
    <definedName name="_xlnm.Print_Area" localSheetId="1">Ansatt2!$L$58</definedName>
    <definedName name="_xlnm.Print_Area" localSheetId="2">Ansatt3!$L$58</definedName>
    <definedName name="_xlnm.Print_Area" localSheetId="3">Ansatt4!$L$58</definedName>
    <definedName name="_xlnm.Print_Area" localSheetId="4">Ansatt5!$L$58</definedName>
    <definedName name="_xlnm.Print_Area" localSheetId="5">Ansatt6!$L$58</definedName>
    <definedName name="_xlnm.Print_Area" localSheetId="6">Ansatt7!$L$58</definedName>
    <definedName name="_xlnm.Print_Area" localSheetId="8">PrintSum!$P$36</definedName>
    <definedName name="valuevx">42.314159</definedName>
    <definedName name="vertex42_copyright" hidden="1">"© 2016 Vertex42 LLC"</definedName>
    <definedName name="vertex42_id" hidden="1">"monthly-timesheet.xlsx"</definedName>
    <definedName name="vertex42_title" hidden="1">"Monthly Timesheet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9" l="1"/>
  <c r="B11" i="19"/>
  <c r="B17" i="20"/>
  <c r="B16" i="20"/>
  <c r="B15" i="20"/>
  <c r="B14" i="20"/>
  <c r="B13" i="20"/>
  <c r="B12" i="20"/>
  <c r="B11" i="20"/>
  <c r="I15" i="22" l="1"/>
  <c r="I16" i="22"/>
  <c r="I17" i="22"/>
  <c r="I18" i="22"/>
  <c r="I19" i="22"/>
  <c r="I20" i="22"/>
  <c r="I21" i="22"/>
  <c r="I22" i="22"/>
  <c r="I23" i="22"/>
  <c r="I24" i="22"/>
  <c r="I25" i="22"/>
  <c r="I26" i="22"/>
  <c r="I14" i="22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5" i="19"/>
  <c r="B14" i="19"/>
  <c r="B13" i="19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D4" i="22" l="1"/>
  <c r="C27" i="22" l="1"/>
  <c r="D27" i="22"/>
  <c r="E27" i="22"/>
  <c r="F27" i="22"/>
  <c r="G27" i="22"/>
  <c r="H27" i="22"/>
  <c r="I27" i="22"/>
  <c r="B27" i="22"/>
  <c r="AH46" i="20"/>
  <c r="AH45" i="20"/>
  <c r="AH44" i="20"/>
  <c r="AH43" i="20"/>
  <c r="AH42" i="20"/>
  <c r="AH41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AH38" i="20"/>
  <c r="AH37" i="20"/>
  <c r="AH36" i="20"/>
  <c r="AH35" i="20"/>
  <c r="AH34" i="20"/>
  <c r="AH33" i="20"/>
  <c r="AG32" i="20"/>
  <c r="AF32" i="20"/>
  <c r="AE32" i="20"/>
  <c r="AE40" i="20" s="1"/>
  <c r="AD32" i="20"/>
  <c r="AC32" i="20"/>
  <c r="AB32" i="20"/>
  <c r="AA32" i="20"/>
  <c r="AA40" i="20" s="1"/>
  <c r="Z32" i="20"/>
  <c r="Y32" i="20"/>
  <c r="X32" i="20"/>
  <c r="W32" i="20"/>
  <c r="W40" i="20" s="1"/>
  <c r="V32" i="20"/>
  <c r="U32" i="20"/>
  <c r="T32" i="20"/>
  <c r="S32" i="20"/>
  <c r="S40" i="20" s="1"/>
  <c r="R32" i="20"/>
  <c r="Q32" i="20"/>
  <c r="P32" i="20"/>
  <c r="O32" i="20"/>
  <c r="O40" i="20" s="1"/>
  <c r="N32" i="20"/>
  <c r="M32" i="20"/>
  <c r="L32" i="20"/>
  <c r="K32" i="20"/>
  <c r="K40" i="20" s="1"/>
  <c r="J32" i="20"/>
  <c r="I32" i="20"/>
  <c r="H32" i="20"/>
  <c r="G32" i="20"/>
  <c r="G40" i="20" s="1"/>
  <c r="F32" i="20"/>
  <c r="E32" i="20"/>
  <c r="D32" i="20"/>
  <c r="C32" i="20"/>
  <c r="AH31" i="20"/>
  <c r="AH30" i="20"/>
  <c r="AH29" i="20"/>
  <c r="AH28" i="20"/>
  <c r="AH27" i="20"/>
  <c r="AH26" i="20"/>
  <c r="AH25" i="20"/>
  <c r="AH24" i="20"/>
  <c r="AH23" i="20"/>
  <c r="AH22" i="20"/>
  <c r="AH21" i="20"/>
  <c r="AH20" i="20"/>
  <c r="AH19" i="20"/>
  <c r="AH18" i="20"/>
  <c r="AH17" i="20"/>
  <c r="AH16" i="20"/>
  <c r="AH15" i="20"/>
  <c r="AH14" i="20"/>
  <c r="AH13" i="20"/>
  <c r="AH12" i="20"/>
  <c r="AH11" i="20"/>
  <c r="C9" i="20"/>
  <c r="D9" i="20" s="1"/>
  <c r="B1" i="20"/>
  <c r="AH46" i="19"/>
  <c r="AH45" i="19"/>
  <c r="AH44" i="19"/>
  <c r="AH43" i="19"/>
  <c r="AH42" i="19"/>
  <c r="AH41" i="19"/>
  <c r="AG39" i="19"/>
  <c r="AF39" i="19"/>
  <c r="AE39" i="19"/>
  <c r="AD39" i="19"/>
  <c r="AC39" i="19"/>
  <c r="AB39" i="19"/>
  <c r="AA39" i="19"/>
  <c r="Z39" i="19"/>
  <c r="Y39" i="19"/>
  <c r="X39" i="19"/>
  <c r="W39" i="19"/>
  <c r="V39" i="19"/>
  <c r="U39" i="19"/>
  <c r="T39" i="19"/>
  <c r="S39" i="19"/>
  <c r="R39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AH38" i="19"/>
  <c r="AH37" i="19"/>
  <c r="AH36" i="19"/>
  <c r="AH35" i="19"/>
  <c r="AH34" i="19"/>
  <c r="AH33" i="19"/>
  <c r="AG32" i="19"/>
  <c r="AF32" i="19"/>
  <c r="AE32" i="19"/>
  <c r="AD32" i="19"/>
  <c r="AC32" i="19"/>
  <c r="AB32" i="19"/>
  <c r="AA32" i="19"/>
  <c r="Z32" i="19"/>
  <c r="Y32" i="19"/>
  <c r="X32" i="19"/>
  <c r="W32" i="19"/>
  <c r="V32" i="19"/>
  <c r="U32" i="19"/>
  <c r="T32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AH31" i="19"/>
  <c r="AH30" i="19"/>
  <c r="AH29" i="19"/>
  <c r="AH28" i="19"/>
  <c r="AH27" i="19"/>
  <c r="AH26" i="19"/>
  <c r="AH25" i="19"/>
  <c r="AH24" i="19"/>
  <c r="AH23" i="19"/>
  <c r="AH22" i="19"/>
  <c r="AH21" i="19"/>
  <c r="AH20" i="19"/>
  <c r="AH19" i="19"/>
  <c r="AH18" i="19"/>
  <c r="AH17" i="19"/>
  <c r="AH16" i="19"/>
  <c r="AH15" i="19"/>
  <c r="AH14" i="19"/>
  <c r="AH13" i="19"/>
  <c r="AH12" i="19"/>
  <c r="AH11" i="19"/>
  <c r="C9" i="19"/>
  <c r="D9" i="19" s="1"/>
  <c r="B1" i="19"/>
  <c r="AH46" i="18"/>
  <c r="AH45" i="18"/>
  <c r="AH44" i="18"/>
  <c r="AH43" i="18"/>
  <c r="AH42" i="18"/>
  <c r="AH41" i="18"/>
  <c r="AG39" i="18"/>
  <c r="AF39" i="18"/>
  <c r="AE39" i="18"/>
  <c r="AD39" i="18"/>
  <c r="AC39" i="18"/>
  <c r="AB39" i="18"/>
  <c r="AA39" i="18"/>
  <c r="Z39" i="18"/>
  <c r="Z40" i="18" s="1"/>
  <c r="Y39" i="18"/>
  <c r="X39" i="18"/>
  <c r="W39" i="18"/>
  <c r="V39" i="18"/>
  <c r="U39" i="18"/>
  <c r="T39" i="18"/>
  <c r="S39" i="18"/>
  <c r="R39" i="18"/>
  <c r="R40" i="18" s="1"/>
  <c r="Q39" i="18"/>
  <c r="P39" i="18"/>
  <c r="O39" i="18"/>
  <c r="N39" i="18"/>
  <c r="M39" i="18"/>
  <c r="L39" i="18"/>
  <c r="K39" i="18"/>
  <c r="J39" i="18"/>
  <c r="J40" i="18" s="1"/>
  <c r="I39" i="18"/>
  <c r="H39" i="18"/>
  <c r="G39" i="18"/>
  <c r="F39" i="18"/>
  <c r="E39" i="18"/>
  <c r="D39" i="18"/>
  <c r="C39" i="18"/>
  <c r="AH38" i="18"/>
  <c r="AH37" i="18"/>
  <c r="AH36" i="18"/>
  <c r="AH35" i="18"/>
  <c r="AH34" i="18"/>
  <c r="AH33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AH31" i="18"/>
  <c r="AH30" i="18"/>
  <c r="AH29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C9" i="18"/>
  <c r="D9" i="18" s="1"/>
  <c r="B1" i="18"/>
  <c r="AH46" i="17"/>
  <c r="AH45" i="17"/>
  <c r="AH44" i="17"/>
  <c r="AH43" i="17"/>
  <c r="AH42" i="17"/>
  <c r="AH41" i="17"/>
  <c r="AG39" i="17"/>
  <c r="AF39" i="17"/>
  <c r="AE39" i="17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AH38" i="17"/>
  <c r="AH37" i="17"/>
  <c r="AH36" i="17"/>
  <c r="AH35" i="17"/>
  <c r="AH34" i="17"/>
  <c r="AH33" i="17"/>
  <c r="AG32" i="17"/>
  <c r="AF32" i="17"/>
  <c r="AE32" i="17"/>
  <c r="AD32" i="17"/>
  <c r="AC32" i="17"/>
  <c r="AB32" i="17"/>
  <c r="AA32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C9" i="17"/>
  <c r="D9" i="17" s="1"/>
  <c r="B1" i="17"/>
  <c r="AH46" i="16"/>
  <c r="AH45" i="16"/>
  <c r="AH44" i="16"/>
  <c r="AH43" i="16"/>
  <c r="AH42" i="16"/>
  <c r="AH41" i="16"/>
  <c r="AG39" i="16"/>
  <c r="AF39" i="16"/>
  <c r="AE39" i="16"/>
  <c r="AD39" i="16"/>
  <c r="AC39" i="16"/>
  <c r="AB39" i="16"/>
  <c r="AA39" i="16"/>
  <c r="Z39" i="16"/>
  <c r="Z40" i="16" s="1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J40" i="16" s="1"/>
  <c r="I39" i="16"/>
  <c r="H39" i="16"/>
  <c r="G39" i="16"/>
  <c r="F39" i="16"/>
  <c r="E39" i="16"/>
  <c r="D39" i="16"/>
  <c r="C39" i="16"/>
  <c r="AH38" i="16"/>
  <c r="AH37" i="16"/>
  <c r="AH36" i="16"/>
  <c r="AH35" i="16"/>
  <c r="AH34" i="16"/>
  <c r="AH33" i="16"/>
  <c r="AG32" i="16"/>
  <c r="AF32" i="16"/>
  <c r="AE32" i="16"/>
  <c r="AE40" i="16" s="1"/>
  <c r="AD32" i="16"/>
  <c r="AC32" i="16"/>
  <c r="AB32" i="16"/>
  <c r="AA32" i="16"/>
  <c r="Z32" i="16"/>
  <c r="Y32" i="16"/>
  <c r="X32" i="16"/>
  <c r="W32" i="16"/>
  <c r="W40" i="16" s="1"/>
  <c r="V32" i="16"/>
  <c r="U32" i="16"/>
  <c r="T32" i="16"/>
  <c r="S32" i="16"/>
  <c r="R32" i="16"/>
  <c r="Q32" i="16"/>
  <c r="P32" i="16"/>
  <c r="O32" i="16"/>
  <c r="O40" i="16" s="1"/>
  <c r="N32" i="16"/>
  <c r="M32" i="16"/>
  <c r="L32" i="16"/>
  <c r="K32" i="16"/>
  <c r="J32" i="16"/>
  <c r="I32" i="16"/>
  <c r="H32" i="16"/>
  <c r="G32" i="16"/>
  <c r="G40" i="16" s="1"/>
  <c r="F32" i="16"/>
  <c r="E32" i="16"/>
  <c r="D32" i="16"/>
  <c r="C32" i="16"/>
  <c r="AH31" i="16"/>
  <c r="AH30" i="16"/>
  <c r="AH29" i="16"/>
  <c r="AH28" i="16"/>
  <c r="AH27" i="16"/>
  <c r="AH26" i="16"/>
  <c r="AH25" i="16"/>
  <c r="AH24" i="16"/>
  <c r="AH23" i="16"/>
  <c r="AH22" i="16"/>
  <c r="AH21" i="16"/>
  <c r="AH20" i="16"/>
  <c r="AH19" i="16"/>
  <c r="AH18" i="16"/>
  <c r="AH17" i="16"/>
  <c r="AH16" i="16"/>
  <c r="AH15" i="16"/>
  <c r="AH14" i="16"/>
  <c r="AH13" i="16"/>
  <c r="AH12" i="16"/>
  <c r="AH11" i="16"/>
  <c r="C9" i="16"/>
  <c r="D9" i="16" s="1"/>
  <c r="B1" i="16"/>
  <c r="AH46" i="15"/>
  <c r="AH45" i="15"/>
  <c r="AH44" i="15"/>
  <c r="AH43" i="15"/>
  <c r="AH42" i="15"/>
  <c r="AH41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H38" i="15"/>
  <c r="AH37" i="15"/>
  <c r="AH36" i="15"/>
  <c r="AH35" i="15"/>
  <c r="AH34" i="15"/>
  <c r="AH33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S32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AH31" i="15"/>
  <c r="AH30" i="15"/>
  <c r="AH29" i="15"/>
  <c r="AH28" i="15"/>
  <c r="AH27" i="15"/>
  <c r="AH26" i="15"/>
  <c r="AH25" i="15"/>
  <c r="AH24" i="15"/>
  <c r="AH23" i="15"/>
  <c r="AH22" i="15"/>
  <c r="AH21" i="15"/>
  <c r="AH20" i="15"/>
  <c r="AH19" i="15"/>
  <c r="AH18" i="15"/>
  <c r="AH17" i="15"/>
  <c r="AH16" i="15"/>
  <c r="AH15" i="15"/>
  <c r="AH14" i="15"/>
  <c r="AH13" i="15"/>
  <c r="AH12" i="15"/>
  <c r="AH11" i="15"/>
  <c r="C9" i="15"/>
  <c r="D9" i="15" s="1"/>
  <c r="B1" i="15"/>
  <c r="K40" i="16" l="1"/>
  <c r="S40" i="16"/>
  <c r="AA40" i="16"/>
  <c r="F40" i="16"/>
  <c r="N40" i="16"/>
  <c r="V40" i="16"/>
  <c r="AD40" i="16"/>
  <c r="N40" i="18"/>
  <c r="V40" i="18"/>
  <c r="AD40" i="18"/>
  <c r="R40" i="16"/>
  <c r="G40" i="18"/>
  <c r="K40" i="18"/>
  <c r="O40" i="18"/>
  <c r="S40" i="18"/>
  <c r="W40" i="18"/>
  <c r="AA40" i="18"/>
  <c r="AE40" i="18"/>
  <c r="F40" i="19"/>
  <c r="J40" i="19"/>
  <c r="G40" i="15"/>
  <c r="K40" i="15"/>
  <c r="O40" i="15"/>
  <c r="S40" i="15"/>
  <c r="W40" i="15"/>
  <c r="AA40" i="15"/>
  <c r="AE40" i="15"/>
  <c r="G40" i="19"/>
  <c r="K40" i="19"/>
  <c r="O40" i="19"/>
  <c r="S40" i="19"/>
  <c r="W40" i="19"/>
  <c r="AA40" i="19"/>
  <c r="AE40" i="19"/>
  <c r="F40" i="20"/>
  <c r="J40" i="20"/>
  <c r="N40" i="20"/>
  <c r="G40" i="17"/>
  <c r="K40" i="17"/>
  <c r="O40" i="17"/>
  <c r="S40" i="17"/>
  <c r="W40" i="17"/>
  <c r="AA40" i="17"/>
  <c r="AE40" i="17"/>
  <c r="J40" i="17"/>
  <c r="N40" i="17"/>
  <c r="R40" i="17"/>
  <c r="V40" i="17"/>
  <c r="Z40" i="17"/>
  <c r="AD40" i="17"/>
  <c r="F40" i="15"/>
  <c r="J40" i="15"/>
  <c r="N40" i="15"/>
  <c r="R40" i="15"/>
  <c r="V40" i="15"/>
  <c r="Z40" i="15"/>
  <c r="AD40" i="15"/>
  <c r="E40" i="15"/>
  <c r="I40" i="15"/>
  <c r="M40" i="15"/>
  <c r="Q40" i="15"/>
  <c r="U40" i="15"/>
  <c r="Y40" i="15"/>
  <c r="AC40" i="15"/>
  <c r="AG40" i="15"/>
  <c r="E40" i="16"/>
  <c r="I40" i="16"/>
  <c r="M40" i="16"/>
  <c r="Q40" i="16"/>
  <c r="U40" i="16"/>
  <c r="Y40" i="16"/>
  <c r="AC40" i="16"/>
  <c r="AG40" i="16"/>
  <c r="AH39" i="17"/>
  <c r="I40" i="17"/>
  <c r="M40" i="17"/>
  <c r="Q40" i="17"/>
  <c r="U40" i="17"/>
  <c r="Y40" i="17"/>
  <c r="AC40" i="17"/>
  <c r="AG40" i="17"/>
  <c r="I40" i="18"/>
  <c r="M40" i="18"/>
  <c r="Q40" i="18"/>
  <c r="U40" i="18"/>
  <c r="Y40" i="18"/>
  <c r="AC40" i="18"/>
  <c r="AG40" i="18"/>
  <c r="N40" i="19"/>
  <c r="R40" i="19"/>
  <c r="V40" i="19"/>
  <c r="Z40" i="19"/>
  <c r="AD40" i="19"/>
  <c r="E40" i="19"/>
  <c r="I40" i="19"/>
  <c r="M40" i="19"/>
  <c r="Q40" i="19"/>
  <c r="U40" i="19"/>
  <c r="Y40" i="19"/>
  <c r="AC40" i="19"/>
  <c r="AG40" i="19"/>
  <c r="Y40" i="20"/>
  <c r="AC40" i="20"/>
  <c r="AG40" i="20"/>
  <c r="AH32" i="15"/>
  <c r="AH32" i="16"/>
  <c r="AH32" i="19"/>
  <c r="Z40" i="20"/>
  <c r="AD40" i="20"/>
  <c r="D40" i="16"/>
  <c r="H40" i="16"/>
  <c r="L40" i="16"/>
  <c r="P40" i="16"/>
  <c r="T40" i="16"/>
  <c r="X40" i="16"/>
  <c r="AB40" i="16"/>
  <c r="AF40" i="16"/>
  <c r="D40" i="17"/>
  <c r="H40" i="17"/>
  <c r="L40" i="17"/>
  <c r="P40" i="17"/>
  <c r="T40" i="17"/>
  <c r="X40" i="17"/>
  <c r="AB40" i="17"/>
  <c r="AF40" i="17"/>
  <c r="D40" i="18"/>
  <c r="H40" i="18"/>
  <c r="L40" i="18"/>
  <c r="P40" i="18"/>
  <c r="T40" i="18"/>
  <c r="X40" i="18"/>
  <c r="AB40" i="18"/>
  <c r="AF40" i="18"/>
  <c r="D40" i="19"/>
  <c r="H40" i="19"/>
  <c r="L40" i="19"/>
  <c r="P40" i="19"/>
  <c r="T40" i="19"/>
  <c r="X40" i="19"/>
  <c r="AB40" i="19"/>
  <c r="AF40" i="19"/>
  <c r="D40" i="20"/>
  <c r="H40" i="20"/>
  <c r="L40" i="20"/>
  <c r="P40" i="20"/>
  <c r="T40" i="20"/>
  <c r="X40" i="20"/>
  <c r="AB40" i="20"/>
  <c r="AF40" i="20"/>
  <c r="C10" i="16"/>
  <c r="F40" i="18"/>
  <c r="AH32" i="17"/>
  <c r="F40" i="17"/>
  <c r="E40" i="20"/>
  <c r="I40" i="20"/>
  <c r="M40" i="20"/>
  <c r="Q40" i="20"/>
  <c r="U40" i="20"/>
  <c r="R40" i="20"/>
  <c r="V40" i="20"/>
  <c r="E40" i="18"/>
  <c r="AH32" i="18"/>
  <c r="AH32" i="20"/>
  <c r="D10" i="20"/>
  <c r="D8" i="20"/>
  <c r="E9" i="20"/>
  <c r="C10" i="20"/>
  <c r="AH39" i="20"/>
  <c r="C40" i="20"/>
  <c r="C8" i="20"/>
  <c r="E9" i="19"/>
  <c r="E8" i="19" s="1"/>
  <c r="D8" i="19"/>
  <c r="D10" i="19"/>
  <c r="C10" i="19"/>
  <c r="AH39" i="19"/>
  <c r="C40" i="19"/>
  <c r="C8" i="19"/>
  <c r="D10" i="18"/>
  <c r="D8" i="18"/>
  <c r="E9" i="18"/>
  <c r="E8" i="18" s="1"/>
  <c r="C10" i="18"/>
  <c r="AH39" i="18"/>
  <c r="C40" i="18"/>
  <c r="C8" i="18"/>
  <c r="D10" i="17"/>
  <c r="D8" i="17"/>
  <c r="E9" i="17"/>
  <c r="E40" i="17"/>
  <c r="C10" i="17"/>
  <c r="C40" i="17"/>
  <c r="C8" i="17"/>
  <c r="D8" i="16"/>
  <c r="D10" i="16"/>
  <c r="E9" i="16"/>
  <c r="E8" i="16" s="1"/>
  <c r="AH39" i="16"/>
  <c r="C40" i="16"/>
  <c r="C8" i="16"/>
  <c r="D40" i="15"/>
  <c r="H40" i="15"/>
  <c r="L40" i="15"/>
  <c r="P40" i="15"/>
  <c r="T40" i="15"/>
  <c r="X40" i="15"/>
  <c r="AB40" i="15"/>
  <c r="AF40" i="15"/>
  <c r="AH39" i="15"/>
  <c r="D10" i="15"/>
  <c r="E9" i="15"/>
  <c r="E8" i="15" s="1"/>
  <c r="D8" i="15"/>
  <c r="C10" i="15"/>
  <c r="C40" i="15"/>
  <c r="C8" i="15"/>
  <c r="B1" i="2"/>
  <c r="AH40" i="16" l="1"/>
  <c r="AH40" i="19"/>
  <c r="AH40" i="18"/>
  <c r="AH40" i="20"/>
  <c r="E10" i="20"/>
  <c r="F9" i="20"/>
  <c r="E8" i="20"/>
  <c r="E10" i="19"/>
  <c r="F9" i="19"/>
  <c r="E10" i="18"/>
  <c r="F9" i="18"/>
  <c r="E10" i="17"/>
  <c r="F9" i="17"/>
  <c r="AH40" i="17"/>
  <c r="E8" i="17"/>
  <c r="E10" i="16"/>
  <c r="F9" i="16"/>
  <c r="AH40" i="15"/>
  <c r="E10" i="15"/>
  <c r="F9" i="15"/>
  <c r="F8" i="15" s="1"/>
  <c r="C9" i="2"/>
  <c r="C10" i="2" s="1"/>
  <c r="G9" i="20" l="1"/>
  <c r="F10" i="20"/>
  <c r="F8" i="20"/>
  <c r="G9" i="19"/>
  <c r="F10" i="19"/>
  <c r="F8" i="19"/>
  <c r="G9" i="18"/>
  <c r="F10" i="18"/>
  <c r="F8" i="18"/>
  <c r="G9" i="17"/>
  <c r="F10" i="17"/>
  <c r="F8" i="17"/>
  <c r="G9" i="16"/>
  <c r="G8" i="16" s="1"/>
  <c r="F10" i="16"/>
  <c r="F8" i="16"/>
  <c r="G9" i="15"/>
  <c r="F10" i="15"/>
  <c r="C8" i="2"/>
  <c r="D9" i="2"/>
  <c r="D8" i="2" s="1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3" i="2"/>
  <c r="AH34" i="2"/>
  <c r="AH35" i="2"/>
  <c r="AH36" i="2"/>
  <c r="AH37" i="2"/>
  <c r="AH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41" i="2"/>
  <c r="AH42" i="2"/>
  <c r="AH43" i="2"/>
  <c r="AH44" i="2"/>
  <c r="AH45" i="2"/>
  <c r="AH46" i="2"/>
  <c r="Z40" i="2" l="1"/>
  <c r="J40" i="2"/>
  <c r="H9" i="20"/>
  <c r="H8" i="20" s="1"/>
  <c r="G10" i="20"/>
  <c r="G8" i="20"/>
  <c r="H9" i="19"/>
  <c r="H8" i="19" s="1"/>
  <c r="G10" i="19"/>
  <c r="G8" i="19"/>
  <c r="H9" i="18"/>
  <c r="H8" i="18" s="1"/>
  <c r="G10" i="18"/>
  <c r="G8" i="18"/>
  <c r="H9" i="17"/>
  <c r="H8" i="17" s="1"/>
  <c r="G10" i="17"/>
  <c r="G8" i="17"/>
  <c r="H9" i="16"/>
  <c r="H8" i="16" s="1"/>
  <c r="G10" i="16"/>
  <c r="H9" i="15"/>
  <c r="H8" i="15" s="1"/>
  <c r="G10" i="15"/>
  <c r="G8" i="15"/>
  <c r="R40" i="2"/>
  <c r="AG40" i="2"/>
  <c r="AC40" i="2"/>
  <c r="Y40" i="2"/>
  <c r="U40" i="2"/>
  <c r="Q40" i="2"/>
  <c r="M40" i="2"/>
  <c r="I40" i="2"/>
  <c r="E40" i="2"/>
  <c r="AE40" i="2"/>
  <c r="AA40" i="2"/>
  <c r="W40" i="2"/>
  <c r="S40" i="2"/>
  <c r="O40" i="2"/>
  <c r="K40" i="2"/>
  <c r="G40" i="2"/>
  <c r="C40" i="2"/>
  <c r="AD40" i="2"/>
  <c r="V40" i="2"/>
  <c r="N40" i="2"/>
  <c r="F40" i="2"/>
  <c r="D10" i="2"/>
  <c r="E9" i="2"/>
  <c r="E8" i="2" s="1"/>
  <c r="AH39" i="2"/>
  <c r="AF40" i="2"/>
  <c r="AB40" i="2"/>
  <c r="X40" i="2"/>
  <c r="T40" i="2"/>
  <c r="P40" i="2"/>
  <c r="L40" i="2"/>
  <c r="H40" i="2"/>
  <c r="D40" i="2"/>
  <c r="AH32" i="2"/>
  <c r="H10" i="20" l="1"/>
  <c r="I9" i="20"/>
  <c r="I8" i="20" s="1"/>
  <c r="H10" i="19"/>
  <c r="I9" i="19"/>
  <c r="I8" i="19" s="1"/>
  <c r="H10" i="18"/>
  <c r="I9" i="18"/>
  <c r="I9" i="17"/>
  <c r="H10" i="17"/>
  <c r="H10" i="16"/>
  <c r="I9" i="16"/>
  <c r="H10" i="15"/>
  <c r="I9" i="15"/>
  <c r="I8" i="15" s="1"/>
  <c r="AH40" i="2"/>
  <c r="E10" i="2"/>
  <c r="F9" i="2"/>
  <c r="F8" i="2" s="1"/>
  <c r="I10" i="20" l="1"/>
  <c r="J9" i="20"/>
  <c r="I10" i="19"/>
  <c r="J9" i="19"/>
  <c r="I10" i="18"/>
  <c r="J9" i="18"/>
  <c r="I8" i="18"/>
  <c r="I10" i="17"/>
  <c r="J9" i="17"/>
  <c r="I8" i="17"/>
  <c r="I10" i="16"/>
  <c r="J9" i="16"/>
  <c r="J8" i="16" s="1"/>
  <c r="I8" i="16"/>
  <c r="I10" i="15"/>
  <c r="J9" i="15"/>
  <c r="F10" i="2"/>
  <c r="G9" i="2"/>
  <c r="G10" i="2" s="1"/>
  <c r="J10" i="20" l="1"/>
  <c r="K9" i="20"/>
  <c r="J8" i="20"/>
  <c r="J10" i="19"/>
  <c r="K9" i="19"/>
  <c r="J8" i="19"/>
  <c r="J10" i="18"/>
  <c r="K9" i="18"/>
  <c r="J8" i="18"/>
  <c r="K9" i="17"/>
  <c r="J10" i="17"/>
  <c r="J8" i="17"/>
  <c r="K9" i="16"/>
  <c r="J10" i="16"/>
  <c r="K9" i="15"/>
  <c r="J10" i="15"/>
  <c r="J8" i="15"/>
  <c r="H9" i="2"/>
  <c r="H8" i="2" s="1"/>
  <c r="G8" i="2"/>
  <c r="L9" i="20" l="1"/>
  <c r="L8" i="20" s="1"/>
  <c r="K10" i="20"/>
  <c r="K8" i="20"/>
  <c r="L9" i="19"/>
  <c r="L8" i="19" s="1"/>
  <c r="K10" i="19"/>
  <c r="K8" i="19"/>
  <c r="L9" i="18"/>
  <c r="L8" i="18" s="1"/>
  <c r="K10" i="18"/>
  <c r="K8" i="18"/>
  <c r="L9" i="17"/>
  <c r="L8" i="17" s="1"/>
  <c r="K10" i="17"/>
  <c r="K8" i="17"/>
  <c r="L9" i="16"/>
  <c r="L8" i="16" s="1"/>
  <c r="K10" i="16"/>
  <c r="K8" i="16"/>
  <c r="L9" i="15"/>
  <c r="L8" i="15" s="1"/>
  <c r="K10" i="15"/>
  <c r="K8" i="15"/>
  <c r="H10" i="2"/>
  <c r="I9" i="2"/>
  <c r="I8" i="2" s="1"/>
  <c r="M9" i="20" l="1"/>
  <c r="M8" i="20" s="1"/>
  <c r="L10" i="20"/>
  <c r="L10" i="19"/>
  <c r="M9" i="19"/>
  <c r="M9" i="18"/>
  <c r="M8" i="18" s="1"/>
  <c r="L10" i="18"/>
  <c r="L10" i="17"/>
  <c r="M9" i="17"/>
  <c r="M8" i="17" s="1"/>
  <c r="L10" i="16"/>
  <c r="M9" i="16"/>
  <c r="M8" i="16" s="1"/>
  <c r="L10" i="15"/>
  <c r="M9" i="15"/>
  <c r="J9" i="2"/>
  <c r="J8" i="2" s="1"/>
  <c r="I10" i="2"/>
  <c r="M10" i="20" l="1"/>
  <c r="N9" i="20"/>
  <c r="M10" i="19"/>
  <c r="N9" i="19"/>
  <c r="M8" i="19"/>
  <c r="M10" i="18"/>
  <c r="N9" i="18"/>
  <c r="M10" i="17"/>
  <c r="N9" i="17"/>
  <c r="M10" i="16"/>
  <c r="N9" i="16"/>
  <c r="N8" i="16" s="1"/>
  <c r="M10" i="15"/>
  <c r="N9" i="15"/>
  <c r="M8" i="15"/>
  <c r="J10" i="2"/>
  <c r="K9" i="2"/>
  <c r="K8" i="2" s="1"/>
  <c r="O9" i="20" l="1"/>
  <c r="N10" i="20"/>
  <c r="N8" i="20"/>
  <c r="O9" i="19"/>
  <c r="N10" i="19"/>
  <c r="N8" i="19"/>
  <c r="O9" i="18"/>
  <c r="N10" i="18"/>
  <c r="N8" i="18"/>
  <c r="O9" i="17"/>
  <c r="N10" i="17"/>
  <c r="N8" i="17"/>
  <c r="N10" i="16"/>
  <c r="O9" i="16"/>
  <c r="O9" i="15"/>
  <c r="N10" i="15"/>
  <c r="N8" i="15"/>
  <c r="K10" i="2"/>
  <c r="L9" i="2"/>
  <c r="L8" i="2" s="1"/>
  <c r="P9" i="20" l="1"/>
  <c r="P8" i="20" s="1"/>
  <c r="O10" i="20"/>
  <c r="O8" i="20"/>
  <c r="P9" i="19"/>
  <c r="P8" i="19" s="1"/>
  <c r="O10" i="19"/>
  <c r="O8" i="19"/>
  <c r="P9" i="18"/>
  <c r="P8" i="18" s="1"/>
  <c r="O10" i="18"/>
  <c r="O8" i="18"/>
  <c r="P9" i="17"/>
  <c r="P8" i="17" s="1"/>
  <c r="O10" i="17"/>
  <c r="O8" i="17"/>
  <c r="P9" i="16"/>
  <c r="P8" i="16" s="1"/>
  <c r="O10" i="16"/>
  <c r="O8" i="16"/>
  <c r="P9" i="15"/>
  <c r="P8" i="15" s="1"/>
  <c r="O10" i="15"/>
  <c r="O8" i="15"/>
  <c r="L10" i="2"/>
  <c r="M9" i="2"/>
  <c r="M8" i="2" s="1"/>
  <c r="P10" i="20" l="1"/>
  <c r="Q9" i="20"/>
  <c r="Q9" i="19"/>
  <c r="Q8" i="19" s="1"/>
  <c r="P10" i="19"/>
  <c r="P10" i="18"/>
  <c r="Q9" i="18"/>
  <c r="P10" i="17"/>
  <c r="Q9" i="17"/>
  <c r="Q8" i="17" s="1"/>
  <c r="Q9" i="16"/>
  <c r="P10" i="16"/>
  <c r="P10" i="15"/>
  <c r="Q9" i="15"/>
  <c r="Q8" i="15" s="1"/>
  <c r="M10" i="2"/>
  <c r="N9" i="2"/>
  <c r="N8" i="2" s="1"/>
  <c r="Q10" i="20" l="1"/>
  <c r="R9" i="20"/>
  <c r="R8" i="20" s="1"/>
  <c r="Q8" i="20"/>
  <c r="Q10" i="19"/>
  <c r="R9" i="19"/>
  <c r="Q10" i="18"/>
  <c r="R9" i="18"/>
  <c r="Q8" i="18"/>
  <c r="Q10" i="17"/>
  <c r="R9" i="17"/>
  <c r="Q10" i="16"/>
  <c r="R9" i="16"/>
  <c r="R8" i="16" s="1"/>
  <c r="Q8" i="16"/>
  <c r="Q10" i="15"/>
  <c r="R9" i="15"/>
  <c r="N10" i="2"/>
  <c r="O9" i="2"/>
  <c r="O8" i="2" s="1"/>
  <c r="R10" i="20" l="1"/>
  <c r="S9" i="20"/>
  <c r="S9" i="19"/>
  <c r="R10" i="19"/>
  <c r="R8" i="19"/>
  <c r="S9" i="18"/>
  <c r="R10" i="18"/>
  <c r="R8" i="18"/>
  <c r="R10" i="17"/>
  <c r="S9" i="17"/>
  <c r="R8" i="17"/>
  <c r="S9" i="16"/>
  <c r="R10" i="16"/>
  <c r="S9" i="15"/>
  <c r="R10" i="15"/>
  <c r="R8" i="15"/>
  <c r="O10" i="2"/>
  <c r="P9" i="2"/>
  <c r="P8" i="2" s="1"/>
  <c r="T9" i="20" l="1"/>
  <c r="T8" i="20" s="1"/>
  <c r="S10" i="20"/>
  <c r="S8" i="20"/>
  <c r="T9" i="19"/>
  <c r="T8" i="19" s="1"/>
  <c r="S10" i="19"/>
  <c r="S8" i="19"/>
  <c r="T9" i="18"/>
  <c r="T8" i="18" s="1"/>
  <c r="S10" i="18"/>
  <c r="S8" i="18"/>
  <c r="T9" i="17"/>
  <c r="T8" i="17" s="1"/>
  <c r="S10" i="17"/>
  <c r="S8" i="17"/>
  <c r="T9" i="16"/>
  <c r="T8" i="16" s="1"/>
  <c r="S10" i="16"/>
  <c r="S8" i="16"/>
  <c r="T9" i="15"/>
  <c r="T8" i="15" s="1"/>
  <c r="S10" i="15"/>
  <c r="S8" i="15"/>
  <c r="P10" i="2"/>
  <c r="Q9" i="2"/>
  <c r="Q8" i="2" s="1"/>
  <c r="T10" i="20" l="1"/>
  <c r="U9" i="20"/>
  <c r="U8" i="20" s="1"/>
  <c r="T10" i="19"/>
  <c r="U9" i="19"/>
  <c r="U8" i="19" s="1"/>
  <c r="T10" i="18"/>
  <c r="U9" i="18"/>
  <c r="U8" i="18" s="1"/>
  <c r="U9" i="17"/>
  <c r="U8" i="17" s="1"/>
  <c r="T10" i="17"/>
  <c r="T10" i="16"/>
  <c r="U9" i="16"/>
  <c r="U8" i="16" s="1"/>
  <c r="T10" i="15"/>
  <c r="U9" i="15"/>
  <c r="Q10" i="2"/>
  <c r="R9" i="2"/>
  <c r="R8" i="2" s="1"/>
  <c r="U10" i="20" l="1"/>
  <c r="V9" i="20"/>
  <c r="U10" i="19"/>
  <c r="V9" i="19"/>
  <c r="U10" i="18"/>
  <c r="V9" i="18"/>
  <c r="U10" i="17"/>
  <c r="V9" i="17"/>
  <c r="V8" i="17" s="1"/>
  <c r="U10" i="16"/>
  <c r="V9" i="16"/>
  <c r="V8" i="16" s="1"/>
  <c r="U10" i="15"/>
  <c r="V9" i="15"/>
  <c r="U8" i="15"/>
  <c r="R10" i="2"/>
  <c r="S9" i="2"/>
  <c r="S8" i="2" s="1"/>
  <c r="V10" i="20" l="1"/>
  <c r="W9" i="20"/>
  <c r="V8" i="20"/>
  <c r="V10" i="19"/>
  <c r="W9" i="19"/>
  <c r="V8" i="19"/>
  <c r="W9" i="18"/>
  <c r="V10" i="18"/>
  <c r="V8" i="18"/>
  <c r="W9" i="17"/>
  <c r="W8" i="17" s="1"/>
  <c r="V10" i="17"/>
  <c r="W9" i="16"/>
  <c r="V10" i="16"/>
  <c r="W9" i="15"/>
  <c r="V10" i="15"/>
  <c r="V8" i="15"/>
  <c r="T9" i="2"/>
  <c r="T8" i="2" s="1"/>
  <c r="S10" i="2"/>
  <c r="X9" i="20" l="1"/>
  <c r="X8" i="20" s="1"/>
  <c r="W10" i="20"/>
  <c r="W8" i="20"/>
  <c r="X9" i="19"/>
  <c r="X8" i="19" s="1"/>
  <c r="W10" i="19"/>
  <c r="W8" i="19"/>
  <c r="X9" i="18"/>
  <c r="X8" i="18" s="1"/>
  <c r="W10" i="18"/>
  <c r="W8" i="18"/>
  <c r="X9" i="17"/>
  <c r="X8" i="17" s="1"/>
  <c r="W10" i="17"/>
  <c r="X9" i="16"/>
  <c r="X8" i="16" s="1"/>
  <c r="W10" i="16"/>
  <c r="W8" i="16"/>
  <c r="X9" i="15"/>
  <c r="X8" i="15" s="1"/>
  <c r="W10" i="15"/>
  <c r="W8" i="15"/>
  <c r="T10" i="2"/>
  <c r="U9" i="2"/>
  <c r="U8" i="2" s="1"/>
  <c r="Y9" i="20" l="1"/>
  <c r="Y8" i="20" s="1"/>
  <c r="X10" i="20"/>
  <c r="X10" i="19"/>
  <c r="Y9" i="19"/>
  <c r="Y8" i="19" s="1"/>
  <c r="Y9" i="18"/>
  <c r="Y8" i="18" s="1"/>
  <c r="X10" i="18"/>
  <c r="X10" i="17"/>
  <c r="Y9" i="17"/>
  <c r="Y8" i="17" s="1"/>
  <c r="Y9" i="16"/>
  <c r="X10" i="16"/>
  <c r="X10" i="15"/>
  <c r="Y9" i="15"/>
  <c r="U10" i="2"/>
  <c r="V9" i="2"/>
  <c r="V8" i="2" s="1"/>
  <c r="Y10" i="20" l="1"/>
  <c r="Z9" i="20"/>
  <c r="Z8" i="20" s="1"/>
  <c r="Y10" i="19"/>
  <c r="Z9" i="19"/>
  <c r="Z8" i="19" s="1"/>
  <c r="Y10" i="18"/>
  <c r="Z9" i="18"/>
  <c r="Y10" i="17"/>
  <c r="Z9" i="17"/>
  <c r="Y10" i="16"/>
  <c r="Z9" i="16"/>
  <c r="Y8" i="16"/>
  <c r="Y10" i="15"/>
  <c r="Z9" i="15"/>
  <c r="Y8" i="15"/>
  <c r="V10" i="2"/>
  <c r="W9" i="2"/>
  <c r="W8" i="2" s="1"/>
  <c r="AA9" i="20" l="1"/>
  <c r="Z10" i="20"/>
  <c r="AA9" i="19"/>
  <c r="Z10" i="19"/>
  <c r="AA9" i="18"/>
  <c r="Z10" i="18"/>
  <c r="Z8" i="18"/>
  <c r="AA9" i="17"/>
  <c r="Z10" i="17"/>
  <c r="Z8" i="17"/>
  <c r="AA9" i="16"/>
  <c r="Z10" i="16"/>
  <c r="Z8" i="16"/>
  <c r="AA9" i="15"/>
  <c r="Z10" i="15"/>
  <c r="Z8" i="15"/>
  <c r="W10" i="2"/>
  <c r="X9" i="2"/>
  <c r="X8" i="2" s="1"/>
  <c r="AB9" i="20" l="1"/>
  <c r="AB8" i="20" s="1"/>
  <c r="AA10" i="20"/>
  <c r="AA8" i="20"/>
  <c r="AB9" i="19"/>
  <c r="AB8" i="19" s="1"/>
  <c r="AA10" i="19"/>
  <c r="AA8" i="19"/>
  <c r="AB9" i="18"/>
  <c r="AB8" i="18" s="1"/>
  <c r="AA10" i="18"/>
  <c r="AA8" i="18"/>
  <c r="AB9" i="17"/>
  <c r="AB8" i="17" s="1"/>
  <c r="AA10" i="17"/>
  <c r="AA8" i="17"/>
  <c r="AB9" i="16"/>
  <c r="AB8" i="16" s="1"/>
  <c r="AA10" i="16"/>
  <c r="AA8" i="16"/>
  <c r="AB9" i="15"/>
  <c r="AB8" i="15" s="1"/>
  <c r="AA10" i="15"/>
  <c r="AA8" i="15"/>
  <c r="X10" i="2"/>
  <c r="Y9" i="2"/>
  <c r="Y8" i="2" s="1"/>
  <c r="AC9" i="20" l="1"/>
  <c r="AC8" i="20" s="1"/>
  <c r="AB10" i="20"/>
  <c r="AC9" i="19"/>
  <c r="AC8" i="19" s="1"/>
  <c r="AB10" i="19"/>
  <c r="AB10" i="18"/>
  <c r="AC9" i="18"/>
  <c r="AC9" i="17"/>
  <c r="AC8" i="17" s="1"/>
  <c r="AB10" i="17"/>
  <c r="AB10" i="16"/>
  <c r="AC9" i="16"/>
  <c r="AC8" i="16" s="1"/>
  <c r="AB10" i="15"/>
  <c r="AC9" i="15"/>
  <c r="Y10" i="2"/>
  <c r="Z9" i="2"/>
  <c r="Z8" i="2" s="1"/>
  <c r="AC10" i="20" l="1"/>
  <c r="AD9" i="20"/>
  <c r="AD8" i="20" s="1"/>
  <c r="AC10" i="19"/>
  <c r="AD9" i="19"/>
  <c r="AD8" i="19" s="1"/>
  <c r="AC10" i="18"/>
  <c r="AD9" i="18"/>
  <c r="AD8" i="18" s="1"/>
  <c r="AC8" i="18"/>
  <c r="AC10" i="17"/>
  <c r="AD9" i="17"/>
  <c r="AC10" i="16"/>
  <c r="AD9" i="16"/>
  <c r="AC10" i="15"/>
  <c r="AD9" i="15"/>
  <c r="AC8" i="15"/>
  <c r="Z10" i="2"/>
  <c r="AA9" i="2"/>
  <c r="AA8" i="2" s="1"/>
  <c r="AD10" i="20" l="1"/>
  <c r="AE9" i="20"/>
  <c r="AE9" i="19"/>
  <c r="AD10" i="19"/>
  <c r="AE9" i="18"/>
  <c r="AD10" i="18"/>
  <c r="AE9" i="17"/>
  <c r="AE8" i="17" s="1"/>
  <c r="AD10" i="17"/>
  <c r="AD8" i="17"/>
  <c r="AE9" i="16"/>
  <c r="AD10" i="16"/>
  <c r="AD8" i="16"/>
  <c r="AE9" i="15"/>
  <c r="AD10" i="15"/>
  <c r="AD8" i="15"/>
  <c r="AA10" i="2"/>
  <c r="AB9" i="2"/>
  <c r="AB8" i="2" s="1"/>
  <c r="AF9" i="20" l="1"/>
  <c r="AF8" i="20" s="1"/>
  <c r="AE10" i="20"/>
  <c r="AE8" i="20"/>
  <c r="AF9" i="19"/>
  <c r="AF8" i="19" s="1"/>
  <c r="AE10" i="19"/>
  <c r="AE8" i="19"/>
  <c r="AF9" i="18"/>
  <c r="AF8" i="18" s="1"/>
  <c r="AE10" i="18"/>
  <c r="AE8" i="18"/>
  <c r="AF9" i="17"/>
  <c r="AF8" i="17" s="1"/>
  <c r="AE10" i="17"/>
  <c r="AF9" i="16"/>
  <c r="AF8" i="16" s="1"/>
  <c r="AE10" i="16"/>
  <c r="AE8" i="16"/>
  <c r="AF9" i="15"/>
  <c r="AF8" i="15" s="1"/>
  <c r="AE10" i="15"/>
  <c r="AE8" i="15"/>
  <c r="AB10" i="2"/>
  <c r="AC9" i="2"/>
  <c r="AC8" i="2" s="1"/>
  <c r="AF10" i="20" l="1"/>
  <c r="AG9" i="20"/>
  <c r="AG10" i="20" s="1"/>
  <c r="AF10" i="19"/>
  <c r="AG9" i="19"/>
  <c r="AG10" i="19" s="1"/>
  <c r="AF10" i="18"/>
  <c r="AG9" i="18"/>
  <c r="AG10" i="18" s="1"/>
  <c r="AF10" i="17"/>
  <c r="AG9" i="17"/>
  <c r="AG10" i="17" s="1"/>
  <c r="AF10" i="16"/>
  <c r="AG9" i="16"/>
  <c r="AG10" i="16" s="1"/>
  <c r="AF10" i="15"/>
  <c r="AG9" i="15"/>
  <c r="AG10" i="15" s="1"/>
  <c r="AC10" i="2"/>
  <c r="AD9" i="2"/>
  <c r="AD8" i="2" s="1"/>
  <c r="AG8" i="17" l="1"/>
  <c r="AG8" i="20"/>
  <c r="AG8" i="19"/>
  <c r="AG8" i="18"/>
  <c r="AG8" i="16"/>
  <c r="AG8" i="15"/>
  <c r="AD10" i="2"/>
  <c r="AE9" i="2"/>
  <c r="AE8" i="2" s="1"/>
  <c r="AE10" i="2" l="1"/>
  <c r="AF9" i="2"/>
  <c r="AF8" i="2" s="1"/>
  <c r="AF10" i="2" l="1"/>
  <c r="AG9" i="2"/>
  <c r="AG8" i="2" s="1"/>
  <c r="AG10" i="2" l="1"/>
</calcChain>
</file>

<file path=xl/sharedStrings.xml><?xml version="1.0" encoding="utf-8"?>
<sst xmlns="http://schemas.openxmlformats.org/spreadsheetml/2006/main" count="223" uniqueCount="70">
  <si>
    <t>Ansatt</t>
  </si>
  <si>
    <t>Prosjekter og prosjektnr for Arkitektkontoret A38 AS</t>
  </si>
  <si>
    <t>Viktig å bemerke: Bruk 0.25 for å legge til 15 minutter.</t>
  </si>
  <si>
    <t>Kod</t>
  </si>
  <si>
    <t>Sum timer</t>
  </si>
  <si>
    <t>Prosjektnavn</t>
  </si>
  <si>
    <t>Prosjektkode</t>
  </si>
  <si>
    <t>Sum fakturerbart</t>
  </si>
  <si>
    <t>Akkvisisjon</t>
  </si>
  <si>
    <t>Sjukt barn</t>
  </si>
  <si>
    <t>Sjuk</t>
  </si>
  <si>
    <t>Lyskopiering</t>
  </si>
  <si>
    <t>Etterutd./ tekn. info</t>
  </si>
  <si>
    <t>Interntid / møte</t>
  </si>
  <si>
    <t>Sum kontortid</t>
  </si>
  <si>
    <t>Normaltid</t>
  </si>
  <si>
    <t>Meirtid</t>
  </si>
  <si>
    <t>Minustid</t>
  </si>
  <si>
    <t>Pålagt overtid 50%</t>
  </si>
  <si>
    <t>Pålagt overtid 100%</t>
  </si>
  <si>
    <t>Ferie</t>
  </si>
  <si>
    <t>Arkitektkontoret A38 AS</t>
  </si>
  <si>
    <t>Overført</t>
  </si>
  <si>
    <t>Akkumulert</t>
  </si>
  <si>
    <t>Timeliste for måneden:</t>
  </si>
  <si>
    <t>Skriv inn starten av måneden her:</t>
  </si>
  <si>
    <t>Viktig å bemerke:</t>
  </si>
  <si>
    <t>For å legge inn nye prosjektnavn og</t>
  </si>
  <si>
    <t>prosjektnr, enten slett og erstatt</t>
  </si>
  <si>
    <t>tidligere prosjekt, eller legg inn ny</t>
  </si>
  <si>
    <t>data i cellene A og henholdsvis B.</t>
  </si>
  <si>
    <t>Type Oppdrag:</t>
  </si>
  <si>
    <t>Oppdragsgiver:</t>
  </si>
  <si>
    <t>Jan</t>
  </si>
  <si>
    <t>Feb</t>
  </si>
  <si>
    <t>Mar</t>
  </si>
  <si>
    <t>Apr</t>
  </si>
  <si>
    <t>Jun</t>
  </si>
  <si>
    <t>Jul</t>
  </si>
  <si>
    <t>Aug</t>
  </si>
  <si>
    <t>Nov</t>
  </si>
  <si>
    <t>Akkumulerte timer</t>
  </si>
  <si>
    <t xml:space="preserve"> </t>
  </si>
  <si>
    <t>Navn på medarbeider</t>
  </si>
  <si>
    <t>Eks.MVA</t>
  </si>
  <si>
    <t>Bikost %</t>
  </si>
  <si>
    <t>Utlegg</t>
  </si>
  <si>
    <t>MVA</t>
  </si>
  <si>
    <t>Faktura.dato</t>
  </si>
  <si>
    <t>Fakt.nr</t>
  </si>
  <si>
    <t>AKK.Hon</t>
  </si>
  <si>
    <t>PROSJEKTOBLAT</t>
  </si>
  <si>
    <t>Total sum</t>
  </si>
  <si>
    <t>Trykk her for å laste inn timer fra timelister:</t>
  </si>
  <si>
    <t>Trykk her for å fjerne verdier:</t>
  </si>
  <si>
    <t>Dec</t>
  </si>
  <si>
    <t>Oct</t>
  </si>
  <si>
    <t>Sep</t>
  </si>
  <si>
    <t>May</t>
  </si>
  <si>
    <t>Ansatt1</t>
  </si>
  <si>
    <t>Ansatt2</t>
  </si>
  <si>
    <t>Ansatt3</t>
  </si>
  <si>
    <t>Ansatt4</t>
  </si>
  <si>
    <t>Ansatt5</t>
  </si>
  <si>
    <t>Ansatt6</t>
  </si>
  <si>
    <t>Ansatt7</t>
  </si>
  <si>
    <t>Test123</t>
  </si>
  <si>
    <t>Test1234</t>
  </si>
  <si>
    <t>Test12345</t>
  </si>
  <si>
    <t>Test123456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</si>
</sst>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h:mm\ AM/PM;@"/>
    <numFmt numFmtId="165" formatCode="d"/>
    <numFmt numFmtId="166" formatCode="mmm"/>
    <numFmt numFmtId="167" formatCode="[$-414]mmmm\ yyyy;@"/>
    <numFmt numFmtId="168" formatCode="0.0"/>
  </numFmts>
  <fonts count="61">
    <font>
      <sz val="10"/>
      <name val="Trebuchet MS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8"/>
      <color indexed="63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mbria"/>
      <family val="1"/>
      <scheme val="major"/>
    </font>
    <font>
      <sz val="10"/>
      <name val="Cambria"/>
      <family val="1"/>
      <scheme val="major"/>
    </font>
    <font>
      <b/>
      <sz val="20"/>
      <color theme="4"/>
      <name val="Cambria"/>
      <family val="1"/>
      <scheme val="major"/>
    </font>
    <font>
      <sz val="10"/>
      <color theme="0"/>
      <name val="Cambria"/>
      <family val="1"/>
      <scheme val="major"/>
    </font>
    <font>
      <b/>
      <sz val="11"/>
      <color theme="0"/>
      <name val="Cambria"/>
      <family val="1"/>
      <scheme val="major"/>
    </font>
    <font>
      <sz val="10"/>
      <name val="Avant Garde"/>
    </font>
    <font>
      <sz val="10"/>
      <name val="Times New Roman"/>
      <family val="1"/>
    </font>
    <font>
      <sz val="22"/>
      <name val="Trebuchet MS"/>
      <family val="2"/>
    </font>
    <font>
      <sz val="9"/>
      <color theme="0"/>
      <name val="Arial Narrow"/>
      <family val="2"/>
    </font>
    <font>
      <b/>
      <sz val="12"/>
      <color theme="0"/>
      <name val="Arial Narrow"/>
      <family val="2"/>
    </font>
    <font>
      <sz val="10"/>
      <name val="Arial Narrow"/>
      <family val="2"/>
    </font>
    <font>
      <sz val="10"/>
      <color theme="0"/>
      <name val="Arial Narrow"/>
      <family val="2"/>
    </font>
    <font>
      <sz val="8"/>
      <color theme="0"/>
      <name val="Calibri"/>
      <family val="2"/>
      <scheme val="minor"/>
    </font>
    <font>
      <sz val="8"/>
      <name val="Avant garde"/>
    </font>
    <font>
      <sz val="8"/>
      <color theme="0"/>
      <name val="Avant garde"/>
    </font>
    <font>
      <b/>
      <sz val="12"/>
      <color theme="0"/>
      <name val="Calibri"/>
      <family val="2"/>
      <scheme val="minor"/>
    </font>
    <font>
      <sz val="12"/>
      <name val="Cambria"/>
      <family val="1"/>
      <scheme val="major"/>
    </font>
    <font>
      <b/>
      <sz val="12"/>
      <name val="Calibri"/>
      <family val="2"/>
      <scheme val="minor"/>
    </font>
    <font>
      <b/>
      <sz val="10"/>
      <color theme="4"/>
      <name val="Century Gothic"/>
      <family val="1"/>
    </font>
    <font>
      <b/>
      <sz val="22"/>
      <color theme="4" tint="-0.249977111117893"/>
      <name val="Calibri (Brødtekst)"/>
    </font>
    <font>
      <sz val="16"/>
      <name val="Trebuchet MS"/>
      <family val="2"/>
    </font>
    <font>
      <sz val="10"/>
      <color theme="0"/>
      <name val="Trebuchet MS"/>
      <family val="2"/>
    </font>
    <font>
      <sz val="11"/>
      <name val="Trebuchet MS"/>
      <family val="2"/>
    </font>
    <font>
      <b/>
      <sz val="18"/>
      <color theme="4"/>
      <name val="Trebuchet MS"/>
      <family val="2"/>
    </font>
    <font>
      <b/>
      <sz val="14"/>
      <color theme="4"/>
      <name val="Trebuchet MS"/>
      <family val="2"/>
    </font>
    <font>
      <sz val="10"/>
      <name val="Cambria"/>
      <family val="1"/>
    </font>
    <font>
      <sz val="10"/>
      <color theme="1"/>
      <name val="Cambria"/>
      <family val="1"/>
    </font>
    <font>
      <b/>
      <sz val="10"/>
      <color theme="1"/>
      <name val="Cambria"/>
      <family val="1"/>
    </font>
    <font>
      <sz val="10"/>
      <color theme="0"/>
      <name val="Cambria"/>
      <family val="1"/>
    </font>
    <font>
      <sz val="12"/>
      <name val="Trebuchet MS"/>
      <family val="2"/>
    </font>
    <font>
      <b/>
      <sz val="10"/>
      <color theme="0"/>
      <name val="Cambria"/>
      <family val="1"/>
    </font>
    <font>
      <b/>
      <sz val="12"/>
      <color rgb="FF305496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thin">
        <color indexed="64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ashed">
        <color theme="4" tint="0.399945066682943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0" applyNumberFormat="0" applyBorder="0" applyAlignment="0" applyProtection="0"/>
    <xf numFmtId="0" fontId="7" fillId="17" borderId="1" applyNumberFormat="0" applyAlignment="0" applyProtection="0"/>
    <xf numFmtId="0" fontId="8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4" fillId="11" borderId="1" applyNumberFormat="0" applyAlignment="0" applyProtection="0"/>
    <xf numFmtId="0" fontId="15" fillId="0" borderId="6" applyNumberFormat="0" applyFill="0" applyAlignment="0" applyProtection="0"/>
    <xf numFmtId="0" fontId="16" fillId="5" borderId="0" applyNumberFormat="0" applyBorder="0" applyAlignment="0" applyProtection="0"/>
    <xf numFmtId="0" fontId="17" fillId="0" borderId="0"/>
    <xf numFmtId="0" fontId="1" fillId="0" borderId="0"/>
    <xf numFmtId="0" fontId="1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3" fillId="0" borderId="0" xfId="0" applyFont="1" applyAlignment="1" applyProtection="1"/>
    <xf numFmtId="0" fontId="0" fillId="0" borderId="0" xfId="0" applyAlignment="1" applyProtection="1"/>
    <xf numFmtId="0" fontId="0" fillId="0" borderId="0" xfId="0" applyAlignment="1" applyProtection="1">
      <alignment vertical="center"/>
    </xf>
    <xf numFmtId="0" fontId="22" fillId="0" borderId="0" xfId="0" applyFont="1" applyAlignment="1" applyProtection="1"/>
    <xf numFmtId="0" fontId="24" fillId="0" borderId="0" xfId="0" applyFont="1" applyFill="1" applyAlignment="1" applyProtection="1">
      <alignment vertical="center"/>
    </xf>
    <xf numFmtId="0" fontId="25" fillId="0" borderId="0" xfId="0" applyFont="1" applyAlignment="1" applyProtection="1"/>
    <xf numFmtId="0" fontId="25" fillId="0" borderId="0" xfId="0" applyFont="1" applyBorder="1" applyAlignment="1" applyProtection="1"/>
    <xf numFmtId="0" fontId="25" fillId="0" borderId="0" xfId="0" applyFont="1" applyAlignment="1" applyProtection="1">
      <alignment horizontal="left"/>
    </xf>
    <xf numFmtId="164" fontId="25" fillId="0" borderId="0" xfId="0" applyNumberFormat="1" applyFont="1" applyFill="1" applyBorder="1" applyAlignment="1" applyProtection="1">
      <alignment horizontal="left" vertical="top"/>
    </xf>
    <xf numFmtId="164" fontId="27" fillId="0" borderId="0" xfId="0" applyNumberFormat="1" applyFont="1" applyFill="1" applyBorder="1" applyAlignment="1" applyProtection="1">
      <alignment horizontal="left" vertical="top"/>
    </xf>
    <xf numFmtId="0" fontId="29" fillId="0" borderId="0" xfId="0" applyFont="1" applyAlignment="1" applyProtection="1">
      <alignment horizontal="right" vertical="center" indent="1"/>
    </xf>
    <xf numFmtId="0" fontId="30" fillId="0" borderId="0" xfId="0" applyFont="1" applyAlignment="1" applyProtection="1">
      <alignment horizontal="right" indent="1"/>
    </xf>
    <xf numFmtId="0" fontId="31" fillId="0" borderId="0" xfId="0" applyFont="1" applyFill="1" applyAlignment="1" applyProtection="1">
      <alignment vertical="center"/>
    </xf>
    <xf numFmtId="0" fontId="25" fillId="0" borderId="0" xfId="0" applyFont="1" applyAlignment="1" applyProtection="1">
      <alignment horizontal="left"/>
    </xf>
    <xf numFmtId="164" fontId="27" fillId="0" borderId="0" xfId="0" applyNumberFormat="1" applyFont="1" applyFill="1" applyBorder="1" applyAlignment="1" applyProtection="1">
      <alignment horizontal="left" vertical="top"/>
    </xf>
    <xf numFmtId="0" fontId="2" fillId="0" borderId="0" xfId="34" applyAlignment="1" applyProtection="1"/>
    <xf numFmtId="0" fontId="25" fillId="20" borderId="0" xfId="0" applyFont="1" applyFill="1" applyAlignment="1" applyProtection="1"/>
    <xf numFmtId="165" fontId="28" fillId="20" borderId="0" xfId="0" applyNumberFormat="1" applyFont="1" applyFill="1" applyAlignment="1" applyProtection="1">
      <alignment horizontal="center"/>
    </xf>
    <xf numFmtId="0" fontId="28" fillId="20" borderId="0" xfId="0" applyFont="1" applyFill="1" applyAlignment="1" applyProtection="1">
      <alignment horizontal="center"/>
    </xf>
    <xf numFmtId="0" fontId="32" fillId="21" borderId="0" xfId="0" applyFont="1" applyFill="1" applyBorder="1" applyAlignment="1" applyProtection="1">
      <alignment horizontal="center" vertical="center" wrapText="1"/>
    </xf>
    <xf numFmtId="0" fontId="25" fillId="0" borderId="15" xfId="39" applyNumberFormat="1" applyFont="1" applyFill="1" applyBorder="1" applyAlignment="1" applyProtection="1">
      <alignment horizontal="left" vertical="center"/>
      <protection locked="0"/>
    </xf>
    <xf numFmtId="0" fontId="25" fillId="0" borderId="15" xfId="39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right"/>
      <protection locked="0"/>
    </xf>
    <xf numFmtId="166" fontId="33" fillId="21" borderId="14" xfId="0" applyNumberFormat="1" applyFont="1" applyFill="1" applyBorder="1" applyAlignment="1" applyProtection="1">
      <alignment horizontal="center" vertical="center" shrinkToFit="1"/>
    </xf>
    <xf numFmtId="0" fontId="31" fillId="0" borderId="0" xfId="0" applyFont="1" applyFill="1" applyAlignment="1" applyProtection="1">
      <alignment horizontal="right" vertic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16" xfId="0" applyFont="1" applyFill="1" applyBorder="1" applyAlignment="1">
      <alignment horizontal="center"/>
    </xf>
    <xf numFmtId="0" fontId="34" fillId="23" borderId="17" xfId="0" applyFont="1" applyFill="1" applyBorder="1"/>
    <xf numFmtId="0" fontId="0" fillId="23" borderId="0" xfId="0" applyFill="1"/>
    <xf numFmtId="0" fontId="36" fillId="23" borderId="0" xfId="0" applyFont="1" applyFill="1"/>
    <xf numFmtId="0" fontId="35" fillId="0" borderId="18" xfId="0" applyNumberFormat="1" applyFont="1" applyBorder="1" applyAlignment="1">
      <alignment horizontal="center"/>
    </xf>
    <xf numFmtId="0" fontId="35" fillId="0" borderId="20" xfId="0" applyNumberFormat="1" applyFont="1" applyBorder="1" applyAlignment="1">
      <alignment horizontal="center"/>
    </xf>
    <xf numFmtId="0" fontId="34" fillId="23" borderId="17" xfId="0" applyNumberFormat="1" applyFont="1" applyFill="1" applyBorder="1"/>
    <xf numFmtId="0" fontId="35" fillId="0" borderId="0" xfId="0" applyNumberFormat="1" applyFont="1" applyBorder="1" applyAlignment="1">
      <alignment horizontal="center"/>
    </xf>
    <xf numFmtId="0" fontId="35" fillId="0" borderId="21" xfId="0" applyNumberFormat="1" applyFont="1" applyBorder="1" applyAlignment="1">
      <alignment horizontal="center"/>
    </xf>
    <xf numFmtId="0" fontId="35" fillId="0" borderId="0" xfId="0" applyNumberFormat="1" applyFont="1" applyAlignment="1">
      <alignment horizontal="center"/>
    </xf>
    <xf numFmtId="0" fontId="0" fillId="0" borderId="0" xfId="0" applyNumberFormat="1"/>
    <xf numFmtId="167" fontId="24" fillId="0" borderId="0" xfId="0" applyNumberFormat="1" applyFont="1" applyFill="1" applyAlignment="1" applyProtection="1">
      <alignment vertical="center"/>
    </xf>
    <xf numFmtId="3" fontId="25" fillId="0" borderId="0" xfId="0" applyNumberFormat="1" applyFont="1" applyAlignment="1" applyProtection="1">
      <alignment horizontal="right"/>
      <protection locked="0"/>
    </xf>
    <xf numFmtId="164" fontId="27" fillId="0" borderId="0" xfId="0" applyNumberFormat="1" applyFont="1" applyFill="1" applyBorder="1" applyAlignment="1" applyProtection="1">
      <alignment horizontal="left" vertical="top"/>
    </xf>
    <xf numFmtId="0" fontId="25" fillId="0" borderId="15" xfId="39" applyNumberFormat="1" applyFont="1" applyFill="1" applyBorder="1" applyAlignment="1" applyProtection="1">
      <alignment horizontal="center" vertical="center"/>
    </xf>
    <xf numFmtId="0" fontId="37" fillId="21" borderId="15" xfId="39" applyNumberFormat="1" applyFont="1" applyFill="1" applyBorder="1" applyAlignment="1" applyProtection="1">
      <alignment horizontal="center" vertical="center"/>
      <protection locked="0"/>
    </xf>
    <xf numFmtId="0" fontId="38" fillId="21" borderId="15" xfId="0" applyNumberFormat="1" applyFont="1" applyFill="1" applyBorder="1" applyAlignment="1" applyProtection="1">
      <alignment horizontal="left" vertical="center"/>
      <protection locked="0"/>
    </xf>
    <xf numFmtId="0" fontId="37" fillId="0" borderId="15" xfId="39" applyNumberFormat="1" applyFont="1" applyFill="1" applyBorder="1" applyAlignment="1" applyProtection="1">
      <alignment horizontal="center" vertical="center"/>
      <protection locked="0"/>
    </xf>
    <xf numFmtId="0" fontId="34" fillId="0" borderId="20" xfId="0" applyFont="1" applyBorder="1"/>
    <xf numFmtId="0" fontId="34" fillId="0" borderId="23" xfId="0" applyFont="1" applyBorder="1"/>
    <xf numFmtId="0" fontId="39" fillId="0" borderId="22" xfId="0" applyFont="1" applyBorder="1"/>
    <xf numFmtId="0" fontId="39" fillId="0" borderId="20" xfId="0" applyFont="1" applyBorder="1"/>
    <xf numFmtId="0" fontId="39" fillId="0" borderId="23" xfId="0" applyFont="1" applyBorder="1"/>
    <xf numFmtId="0" fontId="39" fillId="0" borderId="24" xfId="0" applyFont="1" applyBorder="1"/>
    <xf numFmtId="0" fontId="38" fillId="24" borderId="15" xfId="0" applyNumberFormat="1" applyFont="1" applyFill="1" applyBorder="1" applyAlignment="1" applyProtection="1">
      <alignment horizontal="left" vertical="center"/>
      <protection locked="0"/>
    </xf>
    <xf numFmtId="0" fontId="40" fillId="24" borderId="15" xfId="39" applyNumberFormat="1" applyFont="1" applyFill="1" applyBorder="1" applyAlignment="1" applyProtection="1">
      <alignment horizontal="center" vertical="center"/>
      <protection locked="0"/>
    </xf>
    <xf numFmtId="0" fontId="41" fillId="21" borderId="15" xfId="39" applyNumberFormat="1" applyFont="1" applyFill="1" applyBorder="1" applyAlignment="1" applyProtection="1">
      <alignment horizontal="center" vertical="center"/>
      <protection locked="0"/>
    </xf>
    <xf numFmtId="0" fontId="44" fillId="21" borderId="15" xfId="0" applyNumberFormat="1" applyFont="1" applyFill="1" applyBorder="1" applyAlignment="1" applyProtection="1">
      <alignment horizontal="left" vertical="center"/>
      <protection locked="0"/>
    </xf>
    <xf numFmtId="168" fontId="34" fillId="0" borderId="21" xfId="0" applyNumberFormat="1" applyFont="1" applyBorder="1"/>
    <xf numFmtId="0" fontId="34" fillId="0" borderId="25" xfId="0" applyFont="1" applyBorder="1"/>
    <xf numFmtId="0" fontId="45" fillId="0" borderId="0" xfId="0" applyFont="1" applyAlignment="1" applyProtection="1">
      <alignment horizontal="right" indent="1"/>
    </xf>
    <xf numFmtId="167" fontId="47" fillId="0" borderId="0" xfId="0" applyNumberFormat="1" applyFont="1" applyAlignment="1" applyProtection="1">
      <alignment vertical="center"/>
    </xf>
    <xf numFmtId="0" fontId="48" fillId="0" borderId="0" xfId="0" applyFont="1" applyAlignment="1" applyProtection="1"/>
    <xf numFmtId="0" fontId="42" fillId="0" borderId="15" xfId="39" applyNumberFormat="1" applyFont="1" applyFill="1" applyBorder="1" applyAlignment="1" applyProtection="1">
      <alignment horizontal="left" vertical="center"/>
      <protection locked="0"/>
    </xf>
    <xf numFmtId="0" fontId="43" fillId="21" borderId="15" xfId="39" applyNumberFormat="1" applyFont="1" applyFill="1" applyBorder="1" applyAlignment="1" applyProtection="1">
      <alignment horizontal="left" vertical="center"/>
    </xf>
    <xf numFmtId="0" fontId="42" fillId="0" borderId="15" xfId="39" applyNumberFormat="1" applyFont="1" applyFill="1" applyBorder="1" applyAlignment="1" applyProtection="1">
      <alignment horizontal="left" vertical="center"/>
    </xf>
    <xf numFmtId="0" fontId="43" fillId="24" borderId="15" xfId="39" applyNumberFormat="1" applyFont="1" applyFill="1" applyBorder="1" applyAlignment="1" applyProtection="1">
      <alignment horizontal="left" vertical="center"/>
    </xf>
    <xf numFmtId="0" fontId="42" fillId="0" borderId="27" xfId="39" applyNumberFormat="1" applyFont="1" applyFill="1" applyBorder="1" applyAlignment="1" applyProtection="1">
      <alignment horizontal="left" vertical="center"/>
      <protection locked="0"/>
    </xf>
    <xf numFmtId="0" fontId="43" fillId="21" borderId="27" xfId="39" applyNumberFormat="1" applyFont="1" applyFill="1" applyBorder="1" applyAlignment="1" applyProtection="1">
      <alignment horizontal="left" vertical="center"/>
    </xf>
    <xf numFmtId="0" fontId="42" fillId="0" borderId="27" xfId="39" applyNumberFormat="1" applyFont="1" applyFill="1" applyBorder="1" applyAlignment="1" applyProtection="1">
      <alignment horizontal="left" vertical="center"/>
    </xf>
    <xf numFmtId="0" fontId="43" fillId="24" borderId="27" xfId="39" applyNumberFormat="1" applyFont="1" applyFill="1" applyBorder="1" applyAlignment="1" applyProtection="1">
      <alignment horizontal="left" vertical="center"/>
    </xf>
    <xf numFmtId="0" fontId="42" fillId="22" borderId="26" xfId="0" applyNumberFormat="1" applyFont="1" applyFill="1" applyBorder="1" applyAlignment="1" applyProtection="1">
      <alignment horizontal="center" vertical="center"/>
    </xf>
    <xf numFmtId="0" fontId="43" fillId="21" borderId="26" xfId="0" applyNumberFormat="1" applyFont="1" applyFill="1" applyBorder="1" applyAlignment="1" applyProtection="1">
      <alignment horizontal="center" vertical="center"/>
    </xf>
    <xf numFmtId="0" fontId="43" fillId="24" borderId="26" xfId="0" applyNumberFormat="1" applyFont="1" applyFill="1" applyBorder="1" applyAlignment="1" applyProtection="1">
      <alignment horizontal="center" vertical="center"/>
    </xf>
    <xf numFmtId="0" fontId="49" fillId="22" borderId="0" xfId="0" applyFont="1" applyFill="1"/>
    <xf numFmtId="0" fontId="49" fillId="0" borderId="0" xfId="0" applyFont="1" applyFill="1"/>
    <xf numFmtId="0" fontId="0" fillId="0" borderId="0" xfId="0" applyFill="1"/>
    <xf numFmtId="164" fontId="27" fillId="0" borderId="0" xfId="0" applyNumberFormat="1" applyFont="1" applyFill="1" applyBorder="1" applyAlignment="1" applyProtection="1">
      <alignment horizontal="left" vertical="top"/>
    </xf>
    <xf numFmtId="0" fontId="0" fillId="25" borderId="0" xfId="0" applyFill="1"/>
    <xf numFmtId="0" fontId="0" fillId="25" borderId="0" xfId="0" applyFill="1" applyBorder="1"/>
    <xf numFmtId="0" fontId="0" fillId="25" borderId="28" xfId="0" applyFill="1" applyBorder="1"/>
    <xf numFmtId="0" fontId="0" fillId="20" borderId="0" xfId="0" applyFill="1"/>
    <xf numFmtId="0" fontId="0" fillId="20" borderId="0" xfId="0" applyFill="1" applyBorder="1"/>
    <xf numFmtId="0" fontId="42" fillId="20" borderId="0" xfId="39" applyNumberFormat="1" applyFont="1" applyFill="1" applyBorder="1" applyAlignment="1" applyProtection="1">
      <alignment horizontal="left" vertical="center"/>
      <protection locked="0"/>
    </xf>
    <xf numFmtId="0" fontId="0" fillId="20" borderId="0" xfId="0" applyFill="1" applyBorder="1" applyAlignment="1">
      <alignment vertical="center"/>
    </xf>
    <xf numFmtId="0" fontId="50" fillId="25" borderId="0" xfId="0" applyFont="1" applyFill="1"/>
    <xf numFmtId="0" fontId="52" fillId="25" borderId="0" xfId="0" applyFont="1" applyFill="1" applyBorder="1"/>
    <xf numFmtId="0" fontId="53" fillId="25" borderId="0" xfId="0" applyFont="1" applyFill="1" applyBorder="1"/>
    <xf numFmtId="0" fontId="51" fillId="25" borderId="28" xfId="0" applyFont="1" applyFill="1" applyBorder="1"/>
    <xf numFmtId="0" fontId="51" fillId="25" borderId="0" xfId="0" applyFont="1" applyFill="1"/>
    <xf numFmtId="0" fontId="54" fillId="0" borderId="26" xfId="0" applyFont="1" applyBorder="1" applyAlignment="1">
      <alignment horizontal="left"/>
    </xf>
    <xf numFmtId="0" fontId="57" fillId="21" borderId="26" xfId="0" applyFont="1" applyFill="1" applyBorder="1"/>
    <xf numFmtId="0" fontId="57" fillId="21" borderId="26" xfId="0" applyFont="1" applyFill="1" applyBorder="1" applyAlignment="1">
      <alignment horizontal="center"/>
    </xf>
    <xf numFmtId="0" fontId="54" fillId="22" borderId="26" xfId="0" applyFont="1" applyFill="1" applyBorder="1"/>
    <xf numFmtId="0" fontId="57" fillId="21" borderId="29" xfId="0" applyFont="1" applyFill="1" applyBorder="1" applyAlignment="1">
      <alignment horizontal="center"/>
    </xf>
    <xf numFmtId="0" fontId="55" fillId="22" borderId="30" xfId="0" applyFont="1" applyFill="1" applyBorder="1"/>
    <xf numFmtId="0" fontId="54" fillId="22" borderId="30" xfId="0" applyFont="1" applyFill="1" applyBorder="1"/>
    <xf numFmtId="0" fontId="57" fillId="21" borderId="0" xfId="0" applyFont="1" applyFill="1" applyBorder="1"/>
    <xf numFmtId="0" fontId="56" fillId="22" borderId="0" xfId="0" applyFont="1" applyFill="1" applyBorder="1" applyAlignment="1">
      <alignment horizontal="center"/>
    </xf>
    <xf numFmtId="0" fontId="59" fillId="21" borderId="0" xfId="0" applyFont="1" applyFill="1" applyBorder="1" applyAlignment="1">
      <alignment horizontal="center" vertical="center"/>
    </xf>
    <xf numFmtId="0" fontId="57" fillId="21" borderId="0" xfId="0" applyFont="1" applyFill="1" applyBorder="1" applyAlignment="1">
      <alignment vertical="center"/>
    </xf>
    <xf numFmtId="0" fontId="55" fillId="0" borderId="0" xfId="39" applyNumberFormat="1" applyFont="1" applyFill="1" applyBorder="1" applyAlignment="1" applyProtection="1">
      <alignment horizontal="left" vertical="center"/>
      <protection locked="0"/>
    </xf>
    <xf numFmtId="0" fontId="55" fillId="0" borderId="0" xfId="0" applyFont="1" applyFill="1" applyBorder="1"/>
    <xf numFmtId="0" fontId="54" fillId="0" borderId="30" xfId="0" applyFont="1" applyBorder="1"/>
    <xf numFmtId="0" fontId="0" fillId="22" borderId="0" xfId="0" applyFill="1" applyBorder="1"/>
    <xf numFmtId="0" fontId="50" fillId="22" borderId="0" xfId="0" applyFont="1" applyFill="1" applyBorder="1"/>
    <xf numFmtId="0" fontId="58" fillId="22" borderId="0" xfId="0" applyFont="1" applyFill="1" applyBorder="1"/>
    <xf numFmtId="0" fontId="0" fillId="22" borderId="0" xfId="0" applyFill="1"/>
    <xf numFmtId="0" fontId="25" fillId="0" borderId="15" xfId="39" applyFont="1" applyBorder="1" applyAlignment="1">
      <alignment horizontal="center" vertical="center"/>
    </xf>
    <xf numFmtId="0" fontId="42" fillId="0" borderId="15" xfId="39" applyFont="1" applyBorder="1" applyAlignment="1" applyProtection="1">
      <alignment horizontal="left" vertical="center"/>
      <protection locked="0"/>
    </xf>
    <xf numFmtId="0" fontId="26" fillId="0" borderId="10" xfId="0" applyFont="1" applyBorder="1" applyAlignment="1" applyProtection="1">
      <alignment horizontal="left" vertical="center"/>
      <protection locked="0"/>
    </xf>
    <xf numFmtId="14" fontId="46" fillId="0" borderId="11" xfId="0" applyNumberFormat="1" applyFont="1" applyBorder="1" applyAlignment="1" applyProtection="1">
      <alignment horizontal="left"/>
      <protection locked="0"/>
    </xf>
    <xf numFmtId="14" fontId="46" fillId="0" borderId="12" xfId="0" applyNumberFormat="1" applyFont="1" applyBorder="1" applyAlignment="1" applyProtection="1">
      <alignment horizontal="left"/>
      <protection locked="0"/>
    </xf>
    <xf numFmtId="14" fontId="46" fillId="0" borderId="13" xfId="0" applyNumberFormat="1" applyFont="1" applyBorder="1" applyAlignment="1" applyProtection="1">
      <alignment horizontal="left"/>
      <protection locked="0"/>
    </xf>
    <xf numFmtId="164" fontId="27" fillId="0" borderId="0" xfId="0" applyNumberFormat="1" applyFont="1" applyFill="1" applyBorder="1" applyAlignment="1" applyProtection="1">
      <alignment horizontal="left" vertical="top"/>
    </xf>
    <xf numFmtId="0" fontId="0" fillId="25" borderId="28" xfId="0" applyFill="1" applyBorder="1" applyAlignment="1">
      <alignment horizontal="left" vertical="center"/>
    </xf>
  </cellXfs>
  <cellStyles count="46">
    <cellStyle name="20 % – uthevingsfarge 1" xfId="1" builtinId="30" customBuiltin="1"/>
    <cellStyle name="20 % – uthevingsfarge 2" xfId="2" builtinId="34" customBuiltin="1"/>
    <cellStyle name="20 % – uthevingsfarge 3" xfId="3" builtinId="38" customBuiltin="1"/>
    <cellStyle name="20 % – uthevingsfarge 4" xfId="4" builtinId="42" customBuiltin="1"/>
    <cellStyle name="20 % – uthevingsfarge 5" xfId="5" builtinId="46" customBuiltin="1"/>
    <cellStyle name="20 % – uthevingsfarge 6" xfId="6" builtinId="50" customBuiltin="1"/>
    <cellStyle name="40 % – uthevingsfarge 1" xfId="7" builtinId="31" customBuiltin="1"/>
    <cellStyle name="40 % – uthevingsfarge 2" xfId="8" builtinId="35" customBuiltin="1"/>
    <cellStyle name="40 % – uthevingsfarge 3" xfId="9" builtinId="39" customBuiltin="1"/>
    <cellStyle name="40 % – uthevingsfarge 4" xfId="10" builtinId="43" customBuiltin="1"/>
    <cellStyle name="40 % – uthevingsfarge 5" xfId="11" builtinId="47" customBuiltin="1"/>
    <cellStyle name="40 % – uthevingsfarge 6" xfId="12" builtinId="51" customBuiltin="1"/>
    <cellStyle name="60 % – uthevingsfarge 1" xfId="13" builtinId="32" customBuiltin="1"/>
    <cellStyle name="60 % – uthevingsfarge 2" xfId="14" builtinId="36" customBuiltin="1"/>
    <cellStyle name="60 % – uthevingsfarge 3" xfId="15" builtinId="40" customBuiltin="1"/>
    <cellStyle name="60 % – uthevingsfarge 4" xfId="16" builtinId="44" customBuiltin="1"/>
    <cellStyle name="60 % – uthevingsfarge 5" xfId="17" builtinId="48" customBuiltin="1"/>
    <cellStyle name="60 % – uthevingsfarge 6" xfId="18" builtinId="52" customBuiltin="1"/>
    <cellStyle name="Beregning" xfId="26" builtinId="22" customBuiltin="1"/>
    <cellStyle name="Dårlig" xfId="25" builtinId="27" customBuiltin="1"/>
    <cellStyle name="Forklarende tekst" xfId="28" builtinId="53" customBuiltin="1"/>
    <cellStyle name="God" xfId="29" builtinId="26" customBuiltin="1"/>
    <cellStyle name="Hyperkobling" xfId="34" builtinId="8"/>
    <cellStyle name="Hyperlink 2" xfId="45" xr:uid="{00000000-0005-0000-0000-000022000000}"/>
    <cellStyle name="Inndata" xfId="35" builtinId="20" customBuiltin="1"/>
    <cellStyle name="Koblet celle" xfId="36" builtinId="24" customBuiltin="1"/>
    <cellStyle name="Kontrollcelle" xfId="27" builtinId="23" customBuiltin="1"/>
    <cellStyle name="Merknad" xfId="40" builtinId="10" customBuiltin="1"/>
    <cellStyle name="Normal" xfId="0" builtinId="0"/>
    <cellStyle name="Normal 2" xfId="38" xr:uid="{00000000-0005-0000-0000-000027000000}"/>
    <cellStyle name="Normal_Sheet1" xfId="39" xr:uid="{00000000-0005-0000-0000-000028000000}"/>
    <cellStyle name="Nøytral" xfId="37" builtinId="28" customBuiltin="1"/>
    <cellStyle name="Overskrift 1" xfId="30" builtinId="16" customBuiltin="1"/>
    <cellStyle name="Overskrift 2" xfId="31" builtinId="17" customBuiltin="1"/>
    <cellStyle name="Overskrift 3" xfId="32" builtinId="18" customBuiltin="1"/>
    <cellStyle name="Overskrift 4" xfId="33" builtinId="19" customBuiltin="1"/>
    <cellStyle name="Tittel" xfId="42" builtinId="15" customBuiltin="1"/>
    <cellStyle name="Totalt" xfId="43" builtinId="25" customBuiltin="1"/>
    <cellStyle name="Utdata" xfId="41" builtinId="21" customBuiltin="1"/>
    <cellStyle name="Uthevingsfarge1" xfId="19" builtinId="29" customBuiltin="1"/>
    <cellStyle name="Uthevingsfarge2" xfId="20" builtinId="33" customBuiltin="1"/>
    <cellStyle name="Uthevingsfarge3" xfId="21" builtinId="37" customBuiltin="1"/>
    <cellStyle name="Uthevingsfarge4" xfId="22" builtinId="41" customBuiltin="1"/>
    <cellStyle name="Uthevingsfarge5" xfId="23" builtinId="45" customBuiltin="1"/>
    <cellStyle name="Uthevingsfarge6" xfId="24" builtinId="49" customBuiltin="1"/>
    <cellStyle name="Varseltekst" xfId="44" builtinId="11" customBuiltin="1"/>
  </cellStyles>
  <dxfs count="10"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99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E9E4"/>
      <rgbColor rgb="00E4EFF3"/>
      <rgbColor rgb="001849B5"/>
      <rgbColor rgb="0036ACA2"/>
      <rgbColor rgb="00F0BA00"/>
      <rgbColor rgb="00BCD5E1"/>
      <rgbColor rgb="0083B3C9"/>
      <rgbColor rgb="00346378"/>
      <rgbColor rgb="0087533B"/>
      <rgbColor rgb="00C0C0C0"/>
      <rgbColor rgb="00003366"/>
      <rgbColor rgb="00109618"/>
      <rgbColor rgb="00085108"/>
      <rgbColor rgb="00635100"/>
      <rgbColor rgb="0023414F"/>
      <rgbColor rgb="00E1C8BC"/>
      <rgbColor rgb="005937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203200</xdr:colOff>
      <xdr:row>0</xdr:row>
      <xdr:rowOff>241300</xdr:rowOff>
    </xdr:from>
    <xdr:to>
      <xdr:col>22</xdr:col>
      <xdr:colOff>164918</xdr:colOff>
      <xdr:row>3</xdr:row>
      <xdr:rowOff>63500</xdr:rowOff>
    </xdr:to>
    <xdr:pic>
      <xdr:nvPicPr>
        <xdr:cNvPr id="21" name="Bilde 20" descr="10.2 Logo mørkeblå.jp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 rot="16200000">
          <a:off x="8870859" y="-336459"/>
          <a:ext cx="787400" cy="19429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29</xdr:row>
          <xdr:rowOff>104775</xdr:rowOff>
        </xdr:from>
        <xdr:to>
          <xdr:col>7</xdr:col>
          <xdr:colOff>190500</xdr:colOff>
          <xdr:row>31</xdr:row>
          <xdr:rowOff>66675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200" b="1" i="0" u="none" strike="noStrike" baseline="0">
                  <a:solidFill>
                    <a:srgbClr val="305496"/>
                  </a:solidFill>
                  <a:latin typeface="Calibri"/>
                  <a:cs typeface="Calibri"/>
                </a:rPr>
                <a:t>Last inn verdier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29</xdr:row>
          <xdr:rowOff>114300</xdr:rowOff>
        </xdr:from>
        <xdr:to>
          <xdr:col>14</xdr:col>
          <xdr:colOff>38100</xdr:colOff>
          <xdr:row>31</xdr:row>
          <xdr:rowOff>66675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200" b="1" i="0" u="none" strike="noStrike" baseline="0">
                  <a:solidFill>
                    <a:srgbClr val="305496"/>
                  </a:solidFill>
                  <a:latin typeface="Calibri"/>
                  <a:cs typeface="Calibri"/>
                </a:rPr>
                <a:t>Nullstill tabell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ageSande\Desktop\TIMELISTE-M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Projec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Vertex4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A1:AV51"/>
  <sheetViews>
    <sheetView showGridLines="0" tabSelected="1" zoomScaleNormal="100" workbookViewId="0">
      <selection activeCell="A11" sqref="A11"/>
    </sheetView>
  </sheetViews>
  <sheetFormatPr baseColWidth="10" defaultColWidth="9.140625" defaultRowHeight="15"/>
  <cols>
    <col min="1" max="1" width="44.140625" style="2" customWidth="1"/>
    <col min="2" max="2" width="20.8554687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107" t="str">
        <f>IFERROR(VLOOKUP(A11,[1]AddProjects!A:B,2,0),"")</f>
        <v/>
      </c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107" t="str">
        <f>IFERROR(VLOOKUP(A12,[1]AddProjects!A:B,2,0),"")</f>
        <v/>
      </c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107" t="str">
        <f>IFERROR(VLOOKUP(A13,[1]AddProjects!A:B,2,0),"")</f>
        <v/>
      </c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107" t="str">
        <f>IFERROR(VLOOKUP(A14,[1]AddProjects!A:B,2,0),"")</f>
        <v/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107" t="str">
        <f>IFERROR(VLOOKUP(A15,[1]AddProjects!A:B,2,0),"")</f>
        <v/>
      </c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107" t="str">
        <f>IFERROR(VLOOKUP(A16,[1]AddProjects!A:B,2,0),"")</f>
        <v/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107" t="str">
        <f>IFERROR(VLOOKUP(A17,[1]AddProjects!A:B,2,0),"")</f>
        <v/>
      </c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8:AG46 AC11:AG17">
    <cfRule type="expression" dxfId="9" priority="2">
      <formula>WEEKDAY(C$9,1)=#REF!</formula>
    </cfRule>
  </conditionalFormatting>
  <conditionalFormatting sqref="C11:AB17">
    <cfRule type="expression" dxfId="8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  <pageSetUpPr fitToPage="1"/>
  </sheetPr>
  <dimension ref="A1:AJ51"/>
  <sheetViews>
    <sheetView showGridLines="0" zoomScaleNormal="100" workbookViewId="0">
      <selection activeCell="A11" sqref="A11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36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36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36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36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36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36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36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36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36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36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</row>
    <row r="11" spans="1:36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</row>
    <row r="12" spans="1:36" ht="16.5" customHeight="1">
      <c r="A12" s="21"/>
      <c r="B12" s="43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36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36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36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36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1:AG46">
    <cfRule type="expression" dxfId="7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V51"/>
  <sheetViews>
    <sheetView showGridLines="0" zoomScaleNormal="100" workbookViewId="0">
      <selection activeCell="R3" sqref="R3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43" t="str">
        <f>IFERROR(VLOOKUP(A12,AddProjects!A:B,2,0),"")</f>
        <v/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1:AG46">
    <cfRule type="expression" dxfId="6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">
    <tabColor rgb="FF00B0F0"/>
    <pageSetUpPr fitToPage="1"/>
  </sheetPr>
  <dimension ref="A1:AV51"/>
  <sheetViews>
    <sheetView showGridLines="0" zoomScaleNormal="100" workbookViewId="0">
      <selection activeCell="A11" sqref="A11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 t="s">
        <v>21</v>
      </c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8"/>
      <c r="B5" s="8"/>
      <c r="C5" s="8"/>
      <c r="D5" s="8"/>
      <c r="E5" s="8"/>
      <c r="F5" s="8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8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43" t="str">
        <f>IFERROR(VLOOKUP(A12,AddProjects!A:B,2,0),"")</f>
        <v/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10"/>
      <c r="C48" s="10"/>
      <c r="D48" s="10"/>
      <c r="E48" s="10"/>
      <c r="F48" s="10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6"/>
    </row>
    <row r="49" spans="1:34">
      <c r="A49" s="9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6"/>
    </row>
    <row r="50" spans="1:34">
      <c r="A50" s="9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6"/>
    </row>
    <row r="51" spans="1:34">
      <c r="A51" s="9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6"/>
    </row>
  </sheetData>
  <mergeCells count="3">
    <mergeCell ref="A47:AG47"/>
    <mergeCell ref="B3:E3"/>
    <mergeCell ref="B6:D6"/>
  </mergeCells>
  <phoneticPr fontId="0" type="noConversion"/>
  <conditionalFormatting sqref="C11:AG18 C20:AG46 E19:AG19">
    <cfRule type="expression" dxfId="5" priority="26">
      <formula>WEEKDAY(C$9,1)=#REF!</formula>
    </cfRule>
  </conditionalFormatting>
  <conditionalFormatting sqref="C19:D19">
    <cfRule type="expression" dxfId="4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  <pageSetUpPr fitToPage="1"/>
  </sheetPr>
  <dimension ref="A1:AV51"/>
  <sheetViews>
    <sheetView showGridLines="0" zoomScaleNormal="100" workbookViewId="0">
      <selection activeCell="P5" sqref="P5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43" t="str">
        <f>IFERROR(VLOOKUP(A12,AddProjects!A:B,2,0),"")</f>
        <v/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1:AG46">
    <cfRule type="expression" dxfId="3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2060"/>
    <pageSetUpPr fitToPage="1"/>
  </sheetPr>
  <dimension ref="A1:AV51"/>
  <sheetViews>
    <sheetView showGridLines="0" zoomScaleNormal="100" workbookViewId="0">
      <selection activeCell="X2" sqref="X2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43" t="str">
        <f>IFERROR(VLOOKUP(A12,AddProjects!A:B,2,0),"")</f>
        <v/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1:AG46">
    <cfRule type="expression" dxfId="2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7030A0"/>
    <pageSetUpPr fitToPage="1"/>
  </sheetPr>
  <dimension ref="A1:AV51"/>
  <sheetViews>
    <sheetView showGridLines="0" zoomScaleNormal="100" workbookViewId="0">
      <selection activeCell="X2" sqref="X2"/>
    </sheetView>
  </sheetViews>
  <sheetFormatPr baseColWidth="10" defaultColWidth="9.140625" defaultRowHeight="15"/>
  <cols>
    <col min="1" max="1" width="44.140625" style="2" customWidth="1"/>
    <col min="2" max="2" width="13.140625" style="2" customWidth="1"/>
    <col min="3" max="33" width="5.140625" style="2" customWidth="1"/>
    <col min="34" max="34" width="9" style="2" customWidth="1"/>
    <col min="35" max="35" width="8.85546875" style="2" customWidth="1"/>
    <col min="36" max="36" width="12.42578125" style="2" customWidth="1"/>
    <col min="37" max="16384" width="9.140625" style="2"/>
  </cols>
  <sheetData>
    <row r="1" spans="1:48" s="1" customFormat="1" ht="32.25" customHeight="1">
      <c r="A1" s="13" t="s">
        <v>24</v>
      </c>
      <c r="B1" s="60">
        <f>B6</f>
        <v>43831</v>
      </c>
      <c r="C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J1" s="16"/>
    </row>
    <row r="2" spans="1:48" ht="27.75">
      <c r="A2" s="40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1"/>
      <c r="Y2" s="6"/>
      <c r="AA2" s="6"/>
      <c r="AB2" s="6"/>
      <c r="AC2" s="6"/>
      <c r="AD2" s="6"/>
      <c r="AE2" s="6"/>
      <c r="AF2" s="6"/>
      <c r="AG2" s="6"/>
      <c r="AH2" s="25"/>
      <c r="AJ2" s="4"/>
    </row>
    <row r="3" spans="1:48">
      <c r="A3" s="11" t="s">
        <v>0</v>
      </c>
      <c r="B3" s="109"/>
      <c r="C3" s="109"/>
      <c r="D3" s="109"/>
      <c r="E3" s="109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3"/>
    </row>
    <row r="4" spans="1:48">
      <c r="A4" s="12"/>
      <c r="B4" s="7"/>
      <c r="C4" s="7"/>
      <c r="D4" s="7"/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41"/>
    </row>
    <row r="5" spans="1:48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/>
    </row>
    <row r="6" spans="1:48" ht="16.5">
      <c r="A6" s="59" t="s">
        <v>25</v>
      </c>
      <c r="B6" s="110">
        <v>43831</v>
      </c>
      <c r="C6" s="111"/>
      <c r="D6" s="112"/>
      <c r="E6" s="14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23"/>
    </row>
    <row r="7" spans="1:4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ht="15.75">
      <c r="A8" s="17"/>
      <c r="B8" s="17"/>
      <c r="C8" s="19" t="str">
        <f>IFERROR(IF(OR(B9="",MONTH(C9)&lt;&gt;MONTH(B9)),TEXT(C9,"mmm"),""),"")</f>
        <v>jan</v>
      </c>
      <c r="D8" s="19" t="str">
        <f t="shared" ref="D8:AG8" si="0">IFERROR(IF(OR(C9="",MONTH(D9)&lt;&gt;MONTH(C9)),TEXT(D9,"mmm"),""),"")</f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7"/>
      <c r="AI8" s="17"/>
      <c r="AJ8" s="17"/>
    </row>
    <row r="9" spans="1:48" ht="15.75">
      <c r="A9" s="17"/>
      <c r="B9" s="17"/>
      <c r="C9" s="18">
        <f>$B$6</f>
        <v>43831</v>
      </c>
      <c r="D9" s="18">
        <f t="shared" ref="D9:AG9" si="1">IFERROR(IF(MONTH($B$6)=MONTH(C9+1),C9+1,""),"")</f>
        <v>43832</v>
      </c>
      <c r="E9" s="18">
        <f t="shared" si="1"/>
        <v>43833</v>
      </c>
      <c r="F9" s="18">
        <f t="shared" si="1"/>
        <v>43834</v>
      </c>
      <c r="G9" s="18">
        <f t="shared" si="1"/>
        <v>43835</v>
      </c>
      <c r="H9" s="18">
        <f t="shared" si="1"/>
        <v>43836</v>
      </c>
      <c r="I9" s="18">
        <f t="shared" si="1"/>
        <v>43837</v>
      </c>
      <c r="J9" s="18">
        <f t="shared" si="1"/>
        <v>43838</v>
      </c>
      <c r="K9" s="18">
        <f t="shared" si="1"/>
        <v>43839</v>
      </c>
      <c r="L9" s="18">
        <f t="shared" si="1"/>
        <v>43840</v>
      </c>
      <c r="M9" s="18">
        <f t="shared" si="1"/>
        <v>43841</v>
      </c>
      <c r="N9" s="18">
        <f t="shared" si="1"/>
        <v>43842</v>
      </c>
      <c r="O9" s="18">
        <f t="shared" si="1"/>
        <v>43843</v>
      </c>
      <c r="P9" s="18">
        <f t="shared" si="1"/>
        <v>43844</v>
      </c>
      <c r="Q9" s="18">
        <f t="shared" si="1"/>
        <v>43845</v>
      </c>
      <c r="R9" s="18">
        <f t="shared" si="1"/>
        <v>43846</v>
      </c>
      <c r="S9" s="18">
        <f t="shared" si="1"/>
        <v>43847</v>
      </c>
      <c r="T9" s="18">
        <f t="shared" si="1"/>
        <v>43848</v>
      </c>
      <c r="U9" s="18">
        <f t="shared" si="1"/>
        <v>43849</v>
      </c>
      <c r="V9" s="18">
        <f t="shared" si="1"/>
        <v>43850</v>
      </c>
      <c r="W9" s="18">
        <f t="shared" si="1"/>
        <v>43851</v>
      </c>
      <c r="X9" s="18">
        <f t="shared" si="1"/>
        <v>43852</v>
      </c>
      <c r="Y9" s="18">
        <f t="shared" si="1"/>
        <v>43853</v>
      </c>
      <c r="Z9" s="18">
        <f t="shared" si="1"/>
        <v>43854</v>
      </c>
      <c r="AA9" s="18">
        <f t="shared" si="1"/>
        <v>43855</v>
      </c>
      <c r="AB9" s="18">
        <f t="shared" si="1"/>
        <v>43856</v>
      </c>
      <c r="AC9" s="18">
        <f t="shared" si="1"/>
        <v>43857</v>
      </c>
      <c r="AD9" s="18">
        <f t="shared" si="1"/>
        <v>43858</v>
      </c>
      <c r="AE9" s="18">
        <f t="shared" si="1"/>
        <v>43859</v>
      </c>
      <c r="AF9" s="18">
        <f t="shared" si="1"/>
        <v>43860</v>
      </c>
      <c r="AG9" s="18">
        <f t="shared" si="1"/>
        <v>43861</v>
      </c>
      <c r="AH9" s="17"/>
      <c r="AI9" s="17"/>
      <c r="AJ9" s="17"/>
    </row>
    <row r="10" spans="1:48" s="3" customFormat="1" ht="27.75" customHeight="1">
      <c r="A10" s="20" t="s">
        <v>5</v>
      </c>
      <c r="B10" s="20" t="s">
        <v>6</v>
      </c>
      <c r="C10" s="24" t="str">
        <f>IFERROR(CHOOSE(WEEKDAY(C9,1),"Su","M","Tu","W","Th","F","Sa"),"")</f>
        <v>W</v>
      </c>
      <c r="D10" s="24" t="str">
        <f t="shared" ref="D10:AG10" si="2">IFERROR(CHOOSE(WEEKDAY(D9,1),"Su","M","Tu","W","Th","F","Sa"),"")</f>
        <v>Th</v>
      </c>
      <c r="E10" s="24" t="str">
        <f t="shared" si="2"/>
        <v>F</v>
      </c>
      <c r="F10" s="24" t="str">
        <f t="shared" si="2"/>
        <v>Sa</v>
      </c>
      <c r="G10" s="24" t="str">
        <f t="shared" si="2"/>
        <v>Su</v>
      </c>
      <c r="H10" s="24" t="str">
        <f t="shared" si="2"/>
        <v>M</v>
      </c>
      <c r="I10" s="24" t="str">
        <f t="shared" si="2"/>
        <v>Tu</v>
      </c>
      <c r="J10" s="24" t="str">
        <f t="shared" si="2"/>
        <v>W</v>
      </c>
      <c r="K10" s="24" t="str">
        <f t="shared" si="2"/>
        <v>Th</v>
      </c>
      <c r="L10" s="24" t="str">
        <f t="shared" si="2"/>
        <v>F</v>
      </c>
      <c r="M10" s="24" t="str">
        <f t="shared" si="2"/>
        <v>Sa</v>
      </c>
      <c r="N10" s="24" t="str">
        <f t="shared" si="2"/>
        <v>Su</v>
      </c>
      <c r="O10" s="24" t="str">
        <f t="shared" si="2"/>
        <v>M</v>
      </c>
      <c r="P10" s="24" t="str">
        <f t="shared" si="2"/>
        <v>Tu</v>
      </c>
      <c r="Q10" s="24" t="str">
        <f t="shared" si="2"/>
        <v>W</v>
      </c>
      <c r="R10" s="24" t="str">
        <f t="shared" si="2"/>
        <v>Th</v>
      </c>
      <c r="S10" s="24" t="str">
        <f t="shared" si="2"/>
        <v>F</v>
      </c>
      <c r="T10" s="24" t="str">
        <f t="shared" si="2"/>
        <v>Sa</v>
      </c>
      <c r="U10" s="24" t="str">
        <f t="shared" si="2"/>
        <v>Su</v>
      </c>
      <c r="V10" s="24" t="str">
        <f t="shared" si="2"/>
        <v>M</v>
      </c>
      <c r="W10" s="24" t="str">
        <f t="shared" si="2"/>
        <v>Tu</v>
      </c>
      <c r="X10" s="24" t="str">
        <f t="shared" si="2"/>
        <v>W</v>
      </c>
      <c r="Y10" s="24" t="str">
        <f t="shared" si="2"/>
        <v>Th</v>
      </c>
      <c r="Z10" s="24" t="str">
        <f t="shared" si="2"/>
        <v>F</v>
      </c>
      <c r="AA10" s="24" t="str">
        <f t="shared" si="2"/>
        <v>Sa</v>
      </c>
      <c r="AB10" s="24" t="str">
        <f t="shared" si="2"/>
        <v>Su</v>
      </c>
      <c r="AC10" s="24" t="str">
        <f t="shared" si="2"/>
        <v>M</v>
      </c>
      <c r="AD10" s="24" t="str">
        <f t="shared" si="2"/>
        <v>Tu</v>
      </c>
      <c r="AE10" s="24" t="str">
        <f t="shared" si="2"/>
        <v>W</v>
      </c>
      <c r="AF10" s="24" t="str">
        <f t="shared" si="2"/>
        <v>Th</v>
      </c>
      <c r="AG10" s="24" t="str">
        <f t="shared" si="2"/>
        <v>F</v>
      </c>
      <c r="AH10" s="20" t="s">
        <v>4</v>
      </c>
      <c r="AI10" s="20" t="s">
        <v>22</v>
      </c>
      <c r="AJ10" s="20" t="s">
        <v>23</v>
      </c>
      <c r="AV10" s="3" t="s">
        <v>3</v>
      </c>
    </row>
    <row r="11" spans="1:48" ht="16.5" customHeight="1">
      <c r="A11" s="21"/>
      <c r="B11" s="43" t="str">
        <f>IFERROR(VLOOKUP(A11,AddProjects!A:B,2,0),"")</f>
        <v/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6"/>
      <c r="AH11" s="70">
        <f t="shared" ref="AH11:AH46" si="3">SUM(C11:AG11)</f>
        <v>0</v>
      </c>
      <c r="AI11" s="70"/>
      <c r="AJ11" s="70"/>
      <c r="AV11" s="2">
        <v>3</v>
      </c>
    </row>
    <row r="12" spans="1:48" ht="16.5" customHeight="1">
      <c r="A12" s="21"/>
      <c r="B12" s="43" t="str">
        <f>IFERROR(VLOOKUP(A12,AddProjects!A:B,2,0),"")</f>
        <v/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6"/>
      <c r="AH12" s="70">
        <f t="shared" si="3"/>
        <v>0</v>
      </c>
      <c r="AI12" s="70"/>
      <c r="AJ12" s="70"/>
    </row>
    <row r="13" spans="1:48" ht="16.5" customHeight="1">
      <c r="A13" s="21"/>
      <c r="B13" s="43" t="str">
        <f>IFERROR(VLOOKUP(A13,AddProjects!A:B,2,0),"")</f>
        <v/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6"/>
      <c r="AH13" s="70">
        <f t="shared" si="3"/>
        <v>0</v>
      </c>
      <c r="AI13" s="70"/>
      <c r="AJ13" s="70"/>
    </row>
    <row r="14" spans="1:48" ht="16.5" customHeight="1">
      <c r="A14" s="21"/>
      <c r="B14" s="43" t="str">
        <f>IFERROR(VLOOKUP(A14,AddProjects!A:B,2,0),"")</f>
        <v/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6"/>
      <c r="AH14" s="70">
        <f t="shared" si="3"/>
        <v>0</v>
      </c>
      <c r="AI14" s="70"/>
      <c r="AJ14" s="70"/>
    </row>
    <row r="15" spans="1:48" ht="16.5" customHeight="1">
      <c r="A15" s="21"/>
      <c r="B15" s="43" t="str">
        <f>IFERROR(VLOOKUP(A15,AddProjects!A:B,2,0),"")</f>
        <v/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6"/>
      <c r="AH15" s="70">
        <f t="shared" si="3"/>
        <v>0</v>
      </c>
      <c r="AI15" s="70"/>
      <c r="AJ15" s="70"/>
    </row>
    <row r="16" spans="1:48" ht="16.5" customHeight="1">
      <c r="A16" s="21"/>
      <c r="B16" s="43" t="str">
        <f>IFERROR(VLOOKUP(A16,AddProjects!A:B,2,0),"")</f>
        <v/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6"/>
      <c r="AH16" s="70">
        <f t="shared" si="3"/>
        <v>0</v>
      </c>
      <c r="AI16" s="70"/>
      <c r="AJ16" s="70"/>
    </row>
    <row r="17" spans="1:36" ht="16.5" customHeight="1">
      <c r="A17" s="21"/>
      <c r="B17" s="43" t="str">
        <f>IFERROR(VLOOKUP(A17,AddProjects!A:B,2,0),"")</f>
        <v/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6"/>
      <c r="AH17" s="70">
        <f t="shared" si="3"/>
        <v>0</v>
      </c>
      <c r="AI17" s="70"/>
      <c r="AJ17" s="70"/>
    </row>
    <row r="18" spans="1:36" ht="16.5" customHeight="1">
      <c r="A18" s="21"/>
      <c r="B18" s="43" t="str">
        <f>IFERROR(VLOOKUP(A18,AddProjects!A:B,2,0),"")</f>
        <v/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6"/>
      <c r="AH18" s="70">
        <f t="shared" si="3"/>
        <v>0</v>
      </c>
      <c r="AI18" s="70"/>
      <c r="AJ18" s="70"/>
    </row>
    <row r="19" spans="1:36" ht="16.5" customHeight="1">
      <c r="A19" s="21"/>
      <c r="B19" s="43" t="str">
        <f>IFERROR(VLOOKUP(A19,AddProjects!A:B,2,0),"")</f>
        <v/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6"/>
      <c r="AH19" s="70">
        <f t="shared" si="3"/>
        <v>0</v>
      </c>
      <c r="AI19" s="70"/>
      <c r="AJ19" s="70"/>
    </row>
    <row r="20" spans="1:36" ht="16.5" customHeight="1">
      <c r="A20" s="21"/>
      <c r="B20" s="43" t="str">
        <f>IFERROR(VLOOKUP(A20,AddProjects!A:B,2,0),"")</f>
        <v/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6"/>
      <c r="AH20" s="70">
        <f t="shared" si="3"/>
        <v>0</v>
      </c>
      <c r="AI20" s="70"/>
      <c r="AJ20" s="70"/>
    </row>
    <row r="21" spans="1:36" ht="16.5" customHeight="1">
      <c r="A21" s="21"/>
      <c r="B21" s="43" t="str">
        <f>IFERROR(VLOOKUP(A21,AddProjects!A:B,2,0),"")</f>
        <v/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6"/>
      <c r="AH21" s="70">
        <f t="shared" si="3"/>
        <v>0</v>
      </c>
      <c r="AI21" s="70"/>
      <c r="AJ21" s="70"/>
    </row>
    <row r="22" spans="1:36" ht="16.5" customHeight="1">
      <c r="A22" s="21"/>
      <c r="B22" s="43" t="str">
        <f>IFERROR(VLOOKUP(A22,AddProjects!A:B,2,0),"")</f>
        <v/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6"/>
      <c r="AH22" s="70">
        <f t="shared" si="3"/>
        <v>0</v>
      </c>
      <c r="AI22" s="70"/>
      <c r="AJ22" s="70"/>
    </row>
    <row r="23" spans="1:36" ht="16.5" customHeight="1">
      <c r="A23" s="21"/>
      <c r="B23" s="43" t="str">
        <f>IFERROR(VLOOKUP(A23,AddProjects!A:B,2,0),"")</f>
        <v/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6"/>
      <c r="AH23" s="70">
        <f t="shared" si="3"/>
        <v>0</v>
      </c>
      <c r="AI23" s="70"/>
      <c r="AJ23" s="70"/>
    </row>
    <row r="24" spans="1:36" ht="16.5" customHeight="1">
      <c r="A24" s="21"/>
      <c r="B24" s="43" t="str">
        <f>IFERROR(VLOOKUP(A24,AddProjects!A:B,2,0),"")</f>
        <v/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6"/>
      <c r="AH24" s="70">
        <f t="shared" si="3"/>
        <v>0</v>
      </c>
      <c r="AI24" s="70"/>
      <c r="AJ24" s="70"/>
    </row>
    <row r="25" spans="1:36" ht="16.5" customHeight="1">
      <c r="A25" s="21"/>
      <c r="B25" s="43" t="str">
        <f>IFERROR(VLOOKUP(A25,AddProjects!A:B,2,0),"")</f>
        <v/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6"/>
      <c r="AH25" s="70">
        <f t="shared" si="3"/>
        <v>0</v>
      </c>
      <c r="AI25" s="70"/>
      <c r="AJ25" s="70"/>
    </row>
    <row r="26" spans="1:36" ht="16.5" customHeight="1">
      <c r="A26" s="21"/>
      <c r="B26" s="43" t="str">
        <f>IFERROR(VLOOKUP(A26,AddProjects!A:B,2,0),"")</f>
        <v/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6"/>
      <c r="AH26" s="70">
        <f t="shared" si="3"/>
        <v>0</v>
      </c>
      <c r="AI26" s="70"/>
      <c r="AJ26" s="70"/>
    </row>
    <row r="27" spans="1:36" ht="16.5" customHeight="1">
      <c r="A27" s="21"/>
      <c r="B27" s="43" t="str">
        <f>IFERROR(VLOOKUP(A27,AddProjects!A:B,2,0),"")</f>
        <v/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6"/>
      <c r="AH27" s="70">
        <f t="shared" si="3"/>
        <v>0</v>
      </c>
      <c r="AI27" s="70"/>
      <c r="AJ27" s="70"/>
    </row>
    <row r="28" spans="1:36" ht="16.5" customHeight="1">
      <c r="A28" s="21"/>
      <c r="B28" s="43" t="str">
        <f>IFERROR(VLOOKUP(A28,AddProjects!A:B,2,0),"")</f>
        <v/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6"/>
      <c r="AH28" s="70">
        <f t="shared" si="3"/>
        <v>0</v>
      </c>
      <c r="AI28" s="70"/>
      <c r="AJ28" s="70"/>
    </row>
    <row r="29" spans="1:36" ht="16.5" customHeight="1">
      <c r="A29" s="21"/>
      <c r="B29" s="43" t="str">
        <f>IFERROR(VLOOKUP(A29,AddProjects!A:B,2,0),"")</f>
        <v/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6"/>
      <c r="AH29" s="70">
        <f t="shared" si="3"/>
        <v>0</v>
      </c>
      <c r="AI29" s="70"/>
      <c r="AJ29" s="70"/>
    </row>
    <row r="30" spans="1:36" ht="16.5" customHeight="1">
      <c r="A30" s="21"/>
      <c r="B30" s="43" t="str">
        <f>IFERROR(VLOOKUP(A30,AddProjects!A:B,2,0),"")</f>
        <v/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6"/>
      <c r="AH30" s="70">
        <f t="shared" si="3"/>
        <v>0</v>
      </c>
      <c r="AI30" s="70"/>
      <c r="AJ30" s="70"/>
    </row>
    <row r="31" spans="1:36" ht="16.5" customHeight="1">
      <c r="A31" s="21"/>
      <c r="B31" s="2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6"/>
      <c r="AH31" s="70">
        <f t="shared" si="3"/>
        <v>0</v>
      </c>
      <c r="AI31" s="70"/>
      <c r="AJ31" s="70"/>
    </row>
    <row r="32" spans="1:36" ht="16.5" customHeight="1">
      <c r="A32" s="45" t="s">
        <v>7</v>
      </c>
      <c r="B32" s="44"/>
      <c r="C32" s="63">
        <f>SUM(C11:C31)</f>
        <v>0</v>
      </c>
      <c r="D32" s="63">
        <f t="shared" ref="D32:AG32" si="4">SUM(D11:D31)</f>
        <v>0</v>
      </c>
      <c r="E32" s="63">
        <f t="shared" si="4"/>
        <v>0</v>
      </c>
      <c r="F32" s="63">
        <f t="shared" si="4"/>
        <v>0</v>
      </c>
      <c r="G32" s="63">
        <f t="shared" si="4"/>
        <v>0</v>
      </c>
      <c r="H32" s="63">
        <f t="shared" si="4"/>
        <v>0</v>
      </c>
      <c r="I32" s="63">
        <f t="shared" si="4"/>
        <v>0</v>
      </c>
      <c r="J32" s="63">
        <f t="shared" si="4"/>
        <v>0</v>
      </c>
      <c r="K32" s="63">
        <f t="shared" si="4"/>
        <v>0</v>
      </c>
      <c r="L32" s="63">
        <f t="shared" si="4"/>
        <v>0</v>
      </c>
      <c r="M32" s="63">
        <f t="shared" si="4"/>
        <v>0</v>
      </c>
      <c r="N32" s="63">
        <f t="shared" si="4"/>
        <v>0</v>
      </c>
      <c r="O32" s="63">
        <f t="shared" si="4"/>
        <v>0</v>
      </c>
      <c r="P32" s="63">
        <f t="shared" si="4"/>
        <v>0</v>
      </c>
      <c r="Q32" s="63">
        <f t="shared" si="4"/>
        <v>0</v>
      </c>
      <c r="R32" s="63">
        <f t="shared" si="4"/>
        <v>0</v>
      </c>
      <c r="S32" s="63">
        <f t="shared" si="4"/>
        <v>0</v>
      </c>
      <c r="T32" s="63">
        <f t="shared" si="4"/>
        <v>0</v>
      </c>
      <c r="U32" s="63">
        <f t="shared" si="4"/>
        <v>0</v>
      </c>
      <c r="V32" s="63">
        <f t="shared" si="4"/>
        <v>0</v>
      </c>
      <c r="W32" s="63">
        <f t="shared" si="4"/>
        <v>0</v>
      </c>
      <c r="X32" s="63">
        <f t="shared" si="4"/>
        <v>0</v>
      </c>
      <c r="Y32" s="63">
        <f t="shared" si="4"/>
        <v>0</v>
      </c>
      <c r="Z32" s="63">
        <f t="shared" si="4"/>
        <v>0</v>
      </c>
      <c r="AA32" s="63">
        <f t="shared" si="4"/>
        <v>0</v>
      </c>
      <c r="AB32" s="63">
        <f t="shared" si="4"/>
        <v>0</v>
      </c>
      <c r="AC32" s="63">
        <f t="shared" si="4"/>
        <v>0</v>
      </c>
      <c r="AD32" s="63">
        <f t="shared" si="4"/>
        <v>0</v>
      </c>
      <c r="AE32" s="63">
        <f t="shared" si="4"/>
        <v>0</v>
      </c>
      <c r="AF32" s="63">
        <f t="shared" si="4"/>
        <v>0</v>
      </c>
      <c r="AG32" s="67">
        <f t="shared" si="4"/>
        <v>0</v>
      </c>
      <c r="AH32" s="71">
        <f t="shared" si="3"/>
        <v>0</v>
      </c>
      <c r="AI32" s="71"/>
      <c r="AJ32" s="71"/>
    </row>
    <row r="33" spans="1:36" ht="16.5" customHeight="1">
      <c r="A33" s="49" t="s">
        <v>13</v>
      </c>
      <c r="B33" s="4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8"/>
      <c r="AH33" s="70">
        <f t="shared" si="3"/>
        <v>0</v>
      </c>
      <c r="AI33" s="70"/>
      <c r="AJ33" s="70"/>
    </row>
    <row r="34" spans="1:36" ht="16.5" customHeight="1">
      <c r="A34" s="50" t="s">
        <v>8</v>
      </c>
      <c r="B34" s="46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8"/>
      <c r="AH34" s="70">
        <f t="shared" si="3"/>
        <v>0</v>
      </c>
      <c r="AI34" s="70"/>
      <c r="AJ34" s="70"/>
    </row>
    <row r="35" spans="1:36" ht="16.5" customHeight="1">
      <c r="A35" s="50" t="s">
        <v>9</v>
      </c>
      <c r="B35" s="46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8"/>
      <c r="AH35" s="70">
        <f t="shared" si="3"/>
        <v>0</v>
      </c>
      <c r="AI35" s="70"/>
      <c r="AJ35" s="70"/>
    </row>
    <row r="36" spans="1:36" ht="16.5" customHeight="1">
      <c r="A36" s="51" t="s">
        <v>10</v>
      </c>
      <c r="B36" s="4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8"/>
      <c r="AH36" s="70">
        <f t="shared" si="3"/>
        <v>0</v>
      </c>
      <c r="AI36" s="70"/>
      <c r="AJ36" s="70"/>
    </row>
    <row r="37" spans="1:36" ht="16.5" customHeight="1">
      <c r="A37" s="50" t="s">
        <v>11</v>
      </c>
      <c r="B37" s="46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8"/>
      <c r="AH37" s="70">
        <f t="shared" si="3"/>
        <v>0</v>
      </c>
      <c r="AI37" s="70"/>
      <c r="AJ37" s="70"/>
    </row>
    <row r="38" spans="1:36" ht="16.5" customHeight="1">
      <c r="A38" s="52" t="s">
        <v>12</v>
      </c>
      <c r="B38" s="46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8"/>
      <c r="AH38" s="70">
        <f t="shared" si="3"/>
        <v>0</v>
      </c>
      <c r="AI38" s="70"/>
      <c r="AJ38" s="70"/>
    </row>
    <row r="39" spans="1:36" ht="16.5" customHeight="1">
      <c r="A39" s="53" t="s">
        <v>14</v>
      </c>
      <c r="B39" s="54"/>
      <c r="C39" s="65">
        <f>SUM(C33:C38)</f>
        <v>0</v>
      </c>
      <c r="D39" s="65">
        <f t="shared" ref="D39:AG39" si="5">SUM(D33:D38)</f>
        <v>0</v>
      </c>
      <c r="E39" s="65">
        <f t="shared" si="5"/>
        <v>0</v>
      </c>
      <c r="F39" s="65">
        <f t="shared" si="5"/>
        <v>0</v>
      </c>
      <c r="G39" s="65">
        <f t="shared" si="5"/>
        <v>0</v>
      </c>
      <c r="H39" s="65">
        <f t="shared" si="5"/>
        <v>0</v>
      </c>
      <c r="I39" s="65">
        <f t="shared" si="5"/>
        <v>0</v>
      </c>
      <c r="J39" s="65">
        <f t="shared" si="5"/>
        <v>0</v>
      </c>
      <c r="K39" s="65">
        <f t="shared" si="5"/>
        <v>0</v>
      </c>
      <c r="L39" s="65">
        <f t="shared" si="5"/>
        <v>0</v>
      </c>
      <c r="M39" s="65">
        <f t="shared" si="5"/>
        <v>0</v>
      </c>
      <c r="N39" s="65">
        <f t="shared" si="5"/>
        <v>0</v>
      </c>
      <c r="O39" s="65">
        <f t="shared" si="5"/>
        <v>0</v>
      </c>
      <c r="P39" s="65">
        <f t="shared" si="5"/>
        <v>0</v>
      </c>
      <c r="Q39" s="65">
        <f t="shared" si="5"/>
        <v>0</v>
      </c>
      <c r="R39" s="65">
        <f t="shared" si="5"/>
        <v>0</v>
      </c>
      <c r="S39" s="65">
        <f t="shared" si="5"/>
        <v>0</v>
      </c>
      <c r="T39" s="65">
        <f t="shared" si="5"/>
        <v>0</v>
      </c>
      <c r="U39" s="65">
        <f t="shared" si="5"/>
        <v>0</v>
      </c>
      <c r="V39" s="65">
        <f t="shared" si="5"/>
        <v>0</v>
      </c>
      <c r="W39" s="65">
        <f t="shared" si="5"/>
        <v>0</v>
      </c>
      <c r="X39" s="65">
        <f t="shared" si="5"/>
        <v>0</v>
      </c>
      <c r="Y39" s="65">
        <f t="shared" si="5"/>
        <v>0</v>
      </c>
      <c r="Z39" s="65">
        <f t="shared" si="5"/>
        <v>0</v>
      </c>
      <c r="AA39" s="65">
        <f t="shared" si="5"/>
        <v>0</v>
      </c>
      <c r="AB39" s="65">
        <f t="shared" si="5"/>
        <v>0</v>
      </c>
      <c r="AC39" s="65">
        <f t="shared" si="5"/>
        <v>0</v>
      </c>
      <c r="AD39" s="65">
        <f t="shared" si="5"/>
        <v>0</v>
      </c>
      <c r="AE39" s="65">
        <f t="shared" si="5"/>
        <v>0</v>
      </c>
      <c r="AF39" s="65">
        <f t="shared" si="5"/>
        <v>0</v>
      </c>
      <c r="AG39" s="69">
        <f t="shared" si="5"/>
        <v>0</v>
      </c>
      <c r="AH39" s="72">
        <f t="shared" si="3"/>
        <v>0</v>
      </c>
      <c r="AI39" s="72"/>
      <c r="AJ39" s="72"/>
    </row>
    <row r="40" spans="1:36" ht="16.5" customHeight="1">
      <c r="A40" s="56" t="s">
        <v>4</v>
      </c>
      <c r="B40" s="55"/>
      <c r="C40" s="63">
        <f>C32+C39</f>
        <v>0</v>
      </c>
      <c r="D40" s="63">
        <f t="shared" ref="D40:AG40" si="6">D32+D39</f>
        <v>0</v>
      </c>
      <c r="E40" s="63">
        <f t="shared" si="6"/>
        <v>0</v>
      </c>
      <c r="F40" s="63">
        <f t="shared" si="6"/>
        <v>0</v>
      </c>
      <c r="G40" s="63">
        <f t="shared" si="6"/>
        <v>0</v>
      </c>
      <c r="H40" s="63">
        <f t="shared" si="6"/>
        <v>0</v>
      </c>
      <c r="I40" s="63">
        <f t="shared" si="6"/>
        <v>0</v>
      </c>
      <c r="J40" s="63">
        <f t="shared" si="6"/>
        <v>0</v>
      </c>
      <c r="K40" s="63">
        <f t="shared" si="6"/>
        <v>0</v>
      </c>
      <c r="L40" s="63">
        <f t="shared" si="6"/>
        <v>0</v>
      </c>
      <c r="M40" s="63">
        <f t="shared" si="6"/>
        <v>0</v>
      </c>
      <c r="N40" s="63">
        <f t="shared" si="6"/>
        <v>0</v>
      </c>
      <c r="O40" s="63">
        <f t="shared" si="6"/>
        <v>0</v>
      </c>
      <c r="P40" s="63">
        <f t="shared" si="6"/>
        <v>0</v>
      </c>
      <c r="Q40" s="63">
        <f t="shared" si="6"/>
        <v>0</v>
      </c>
      <c r="R40" s="63">
        <f t="shared" si="6"/>
        <v>0</v>
      </c>
      <c r="S40" s="63">
        <f t="shared" si="6"/>
        <v>0</v>
      </c>
      <c r="T40" s="63">
        <f t="shared" si="6"/>
        <v>0</v>
      </c>
      <c r="U40" s="63">
        <f t="shared" si="6"/>
        <v>0</v>
      </c>
      <c r="V40" s="63">
        <f t="shared" si="6"/>
        <v>0</v>
      </c>
      <c r="W40" s="63">
        <f t="shared" si="6"/>
        <v>0</v>
      </c>
      <c r="X40" s="63">
        <f t="shared" si="6"/>
        <v>0</v>
      </c>
      <c r="Y40" s="63">
        <f t="shared" si="6"/>
        <v>0</v>
      </c>
      <c r="Z40" s="63">
        <f t="shared" si="6"/>
        <v>0</v>
      </c>
      <c r="AA40" s="63">
        <f t="shared" si="6"/>
        <v>0</v>
      </c>
      <c r="AB40" s="63">
        <f t="shared" si="6"/>
        <v>0</v>
      </c>
      <c r="AC40" s="63">
        <f t="shared" si="6"/>
        <v>0</v>
      </c>
      <c r="AD40" s="63">
        <f t="shared" si="6"/>
        <v>0</v>
      </c>
      <c r="AE40" s="63">
        <f t="shared" si="6"/>
        <v>0</v>
      </c>
      <c r="AF40" s="63">
        <f t="shared" si="6"/>
        <v>0</v>
      </c>
      <c r="AG40" s="67">
        <f t="shared" si="6"/>
        <v>0</v>
      </c>
      <c r="AH40" s="71">
        <f t="shared" si="3"/>
        <v>0</v>
      </c>
      <c r="AI40" s="71"/>
      <c r="AJ40" s="71"/>
    </row>
    <row r="41" spans="1:36" ht="16.5" customHeight="1">
      <c r="A41" s="57" t="s">
        <v>15</v>
      </c>
      <c r="B41" s="2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6"/>
      <c r="AH41" s="70">
        <f t="shared" si="3"/>
        <v>0</v>
      </c>
      <c r="AI41" s="70"/>
      <c r="AJ41" s="70"/>
    </row>
    <row r="42" spans="1:36" ht="16.5" customHeight="1">
      <c r="A42" s="47" t="s">
        <v>16</v>
      </c>
      <c r="B42" s="2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6"/>
      <c r="AH42" s="70">
        <f t="shared" si="3"/>
        <v>0</v>
      </c>
      <c r="AI42" s="70"/>
      <c r="AJ42" s="70"/>
    </row>
    <row r="43" spans="1:36" ht="16.5" customHeight="1">
      <c r="A43" s="48" t="s">
        <v>17</v>
      </c>
      <c r="B43" s="2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6"/>
      <c r="AH43" s="70">
        <f t="shared" si="3"/>
        <v>0</v>
      </c>
      <c r="AI43" s="70"/>
      <c r="AJ43" s="70"/>
    </row>
    <row r="44" spans="1:36" ht="16.5" customHeight="1">
      <c r="A44" s="48" t="s">
        <v>18</v>
      </c>
      <c r="B44" s="2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6"/>
      <c r="AH44" s="70">
        <f t="shared" si="3"/>
        <v>0</v>
      </c>
      <c r="AI44" s="70"/>
      <c r="AJ44" s="70"/>
    </row>
    <row r="45" spans="1:36" ht="16.5" customHeight="1">
      <c r="A45" s="48" t="s">
        <v>19</v>
      </c>
      <c r="B45" s="2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6"/>
      <c r="AH45" s="70">
        <f t="shared" si="3"/>
        <v>0</v>
      </c>
      <c r="AI45" s="70"/>
      <c r="AJ45" s="70"/>
    </row>
    <row r="46" spans="1:36" ht="16.5" customHeight="1">
      <c r="A46" s="58" t="s">
        <v>20</v>
      </c>
      <c r="B46" s="2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6"/>
      <c r="AH46" s="70">
        <f t="shared" si="3"/>
        <v>0</v>
      </c>
      <c r="AI46" s="70"/>
      <c r="AJ46" s="70"/>
    </row>
    <row r="47" spans="1:36">
      <c r="A47" s="113" t="s">
        <v>2</v>
      </c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6"/>
    </row>
    <row r="48" spans="1:36">
      <c r="A48" s="9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6"/>
    </row>
    <row r="49" spans="1:34">
      <c r="A49" s="9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6"/>
    </row>
    <row r="50" spans="1:34">
      <c r="A50" s="9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6"/>
    </row>
    <row r="51" spans="1:34">
      <c r="A51" s="9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6"/>
    </row>
  </sheetData>
  <mergeCells count="3">
    <mergeCell ref="B3:E3"/>
    <mergeCell ref="B6:D6"/>
    <mergeCell ref="A47:AG47"/>
  </mergeCells>
  <conditionalFormatting sqref="C11:AG46">
    <cfRule type="expression" dxfId="1" priority="1">
      <formula>WEEKDAY(C$9,1)=#REF!</formula>
    </cfRule>
  </conditionalFormatting>
  <printOptions horizontalCentered="1"/>
  <pageMargins left="0.35" right="0.35" top="0.5" bottom="0.75" header="0.5" footer="0.5"/>
  <pageSetup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AddProjects!$A$2:$A$1048576</xm:f>
          </x14:formula1>
          <xm:sqref>A11:A30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2"/>
  <dimension ref="A1:M36"/>
  <sheetViews>
    <sheetView zoomScaleNormal="100" workbookViewId="0">
      <selection activeCell="E12" sqref="E12"/>
    </sheetView>
  </sheetViews>
  <sheetFormatPr baseColWidth="10" defaultColWidth="11.42578125" defaultRowHeight="15"/>
  <cols>
    <col min="1" max="1" width="29" customWidth="1"/>
    <col min="2" max="2" width="12" style="39" bestFit="1" customWidth="1"/>
    <col min="3" max="3" width="10.140625" hidden="1" customWidth="1"/>
  </cols>
  <sheetData>
    <row r="1" spans="1:13" s="31" customFormat="1" ht="27.95" customHeight="1">
      <c r="A1" s="30"/>
      <c r="B1" s="35"/>
      <c r="C1" s="31">
        <v>6</v>
      </c>
      <c r="D1" s="32" t="s">
        <v>1</v>
      </c>
    </row>
    <row r="2" spans="1:13">
      <c r="A2" s="26" t="s">
        <v>66</v>
      </c>
      <c r="B2" s="33">
        <v>1900</v>
      </c>
      <c r="C2">
        <v>8</v>
      </c>
    </row>
    <row r="3" spans="1:13">
      <c r="A3" s="27" t="s">
        <v>67</v>
      </c>
      <c r="B3" s="34">
        <v>1901</v>
      </c>
      <c r="C3">
        <v>9</v>
      </c>
    </row>
    <row r="4" spans="1:13">
      <c r="A4" s="28" t="s">
        <v>68</v>
      </c>
      <c r="B4" s="36">
        <v>1902</v>
      </c>
      <c r="C4">
        <v>1</v>
      </c>
    </row>
    <row r="5" spans="1:13" ht="21">
      <c r="A5" s="27" t="s">
        <v>69</v>
      </c>
      <c r="B5" s="34">
        <v>1903</v>
      </c>
      <c r="C5">
        <v>2</v>
      </c>
      <c r="F5" s="73" t="s">
        <v>26</v>
      </c>
      <c r="G5" s="73"/>
      <c r="H5" s="73"/>
      <c r="I5" s="73"/>
      <c r="J5" s="73"/>
    </row>
    <row r="6" spans="1:13" ht="21">
      <c r="A6" s="28"/>
      <c r="B6" s="37"/>
      <c r="C6">
        <v>7</v>
      </c>
      <c r="F6" s="73" t="s">
        <v>27</v>
      </c>
      <c r="G6" s="73"/>
      <c r="H6" s="73"/>
      <c r="I6" s="73"/>
      <c r="J6" s="73"/>
    </row>
    <row r="7" spans="1:13" ht="21">
      <c r="A7" s="27"/>
      <c r="B7" s="34"/>
      <c r="C7">
        <v>1</v>
      </c>
      <c r="F7" s="73" t="s">
        <v>28</v>
      </c>
      <c r="G7" s="73"/>
      <c r="H7" s="73"/>
      <c r="I7" s="73"/>
      <c r="J7" s="73"/>
    </row>
    <row r="8" spans="1:13" ht="21">
      <c r="A8" s="26"/>
      <c r="B8" s="33"/>
      <c r="C8">
        <v>1</v>
      </c>
      <c r="F8" s="73" t="s">
        <v>29</v>
      </c>
      <c r="G8" s="73"/>
      <c r="H8" s="73"/>
      <c r="I8" s="73"/>
      <c r="J8" s="73"/>
    </row>
    <row r="9" spans="1:13" ht="21">
      <c r="A9" s="27"/>
      <c r="B9" s="34"/>
      <c r="C9">
        <v>1</v>
      </c>
      <c r="F9" s="73" t="s">
        <v>30</v>
      </c>
      <c r="G9" s="73"/>
      <c r="H9" s="73"/>
      <c r="I9" s="73"/>
      <c r="J9" s="73"/>
    </row>
    <row r="10" spans="1:13">
      <c r="A10" s="26"/>
      <c r="B10" s="33"/>
      <c r="C10">
        <v>5</v>
      </c>
    </row>
    <row r="11" spans="1:13">
      <c r="A11" s="26"/>
      <c r="B11" s="33"/>
      <c r="C11">
        <v>1</v>
      </c>
    </row>
    <row r="12" spans="1:13">
      <c r="A12" s="28"/>
      <c r="B12" s="33"/>
      <c r="C12">
        <v>1</v>
      </c>
    </row>
    <row r="13" spans="1:13">
      <c r="A13" s="26"/>
      <c r="B13" s="33"/>
      <c r="C13">
        <v>1</v>
      </c>
    </row>
    <row r="14" spans="1:13">
      <c r="A14" s="26"/>
      <c r="B14" s="33"/>
      <c r="C14">
        <v>6</v>
      </c>
    </row>
    <row r="15" spans="1:13" ht="21">
      <c r="A15" s="26"/>
      <c r="B15" s="33"/>
      <c r="C15">
        <v>1</v>
      </c>
      <c r="F15" s="74"/>
      <c r="G15" s="74"/>
      <c r="H15" s="74"/>
      <c r="I15" s="74"/>
      <c r="J15" s="74"/>
      <c r="K15" s="75"/>
      <c r="L15" s="75"/>
      <c r="M15" s="75"/>
    </row>
    <row r="16" spans="1:13" ht="21">
      <c r="A16" s="28"/>
      <c r="B16" s="36"/>
      <c r="C16">
        <v>1</v>
      </c>
      <c r="F16" s="74"/>
      <c r="G16" s="74"/>
      <c r="H16" s="74"/>
      <c r="I16" s="74"/>
      <c r="J16" s="74"/>
      <c r="K16" s="75"/>
      <c r="L16" s="75"/>
      <c r="M16" s="75"/>
    </row>
    <row r="17" spans="1:13" ht="21">
      <c r="A17" s="26"/>
      <c r="B17" s="33"/>
      <c r="C17">
        <v>1</v>
      </c>
      <c r="F17" s="74"/>
      <c r="G17" s="74"/>
      <c r="H17" s="74"/>
      <c r="I17" s="74"/>
      <c r="J17" s="74"/>
      <c r="K17" s="75"/>
      <c r="L17" s="75"/>
      <c r="M17" s="75"/>
    </row>
    <row r="18" spans="1:13" ht="21">
      <c r="A18" s="26"/>
      <c r="B18" s="33"/>
      <c r="C18">
        <v>1</v>
      </c>
      <c r="F18" s="74"/>
      <c r="G18" s="74"/>
      <c r="H18" s="74"/>
      <c r="I18" s="74"/>
      <c r="J18" s="74"/>
      <c r="K18" s="75"/>
      <c r="L18" s="75"/>
      <c r="M18" s="75"/>
    </row>
    <row r="19" spans="1:13">
      <c r="A19" s="26"/>
      <c r="B19" s="36"/>
      <c r="C19">
        <v>36</v>
      </c>
    </row>
    <row r="20" spans="1:13">
      <c r="A20" s="28"/>
      <c r="B20" s="36"/>
      <c r="C20">
        <v>1</v>
      </c>
    </row>
    <row r="21" spans="1:13">
      <c r="A21" s="27"/>
      <c r="B21" s="34"/>
    </row>
    <row r="22" spans="1:13">
      <c r="A22" s="28"/>
      <c r="B22" s="37"/>
    </row>
    <row r="23" spans="1:13">
      <c r="A23" s="28"/>
      <c r="B23" s="36"/>
    </row>
    <row r="24" spans="1:13">
      <c r="A24" s="27"/>
      <c r="B24" s="34"/>
    </row>
    <row r="25" spans="1:13">
      <c r="A25" s="28"/>
      <c r="B25" s="33"/>
    </row>
    <row r="26" spans="1:13">
      <c r="A26" s="26"/>
      <c r="B26" s="33"/>
    </row>
    <row r="27" spans="1:13">
      <c r="A27" s="26"/>
      <c r="B27" s="33"/>
    </row>
    <row r="28" spans="1:13">
      <c r="A28" s="28"/>
      <c r="B28" s="36"/>
    </row>
    <row r="29" spans="1:13">
      <c r="A29" s="28"/>
      <c r="B29" s="36"/>
    </row>
    <row r="30" spans="1:13">
      <c r="A30" s="28"/>
      <c r="B30" s="33"/>
    </row>
    <row r="31" spans="1:13">
      <c r="A31" s="26"/>
      <c r="B31" s="33"/>
    </row>
    <row r="32" spans="1:13">
      <c r="A32" s="27"/>
      <c r="B32" s="34"/>
    </row>
    <row r="33" spans="1:2">
      <c r="A33" s="26"/>
      <c r="B33" s="33"/>
    </row>
    <row r="34" spans="1:2">
      <c r="A34" s="27"/>
      <c r="B34" s="34"/>
    </row>
    <row r="35" spans="1:2" ht="12.95" customHeight="1">
      <c r="A35" s="28"/>
      <c r="B35" s="33"/>
    </row>
    <row r="36" spans="1:2">
      <c r="A36" s="29"/>
      <c r="B36" s="38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-0.249977111117893"/>
  </sheetPr>
  <dimension ref="A1:AL32"/>
  <sheetViews>
    <sheetView zoomScaleNormal="100" workbookViewId="0">
      <selection activeCell="P11" sqref="P11"/>
    </sheetView>
  </sheetViews>
  <sheetFormatPr baseColWidth="10" defaultColWidth="11.42578125" defaultRowHeight="15"/>
  <cols>
    <col min="1" max="1" width="12.85546875" style="80" customWidth="1"/>
    <col min="2" max="8" width="11.42578125" style="80"/>
    <col min="9" max="9" width="19" style="80" customWidth="1"/>
    <col min="10" max="10" width="9.140625" style="81" customWidth="1"/>
    <col min="11" max="11" width="8.140625" style="81" customWidth="1"/>
    <col min="12" max="12" width="8.42578125" style="81" customWidth="1"/>
    <col min="13" max="13" width="9.140625" style="81" customWidth="1"/>
    <col min="14" max="14" width="12.85546875" style="81" customWidth="1"/>
    <col min="15" max="15" width="9" style="81" customWidth="1"/>
    <col min="16" max="16" width="10.42578125" style="81" customWidth="1"/>
    <col min="17" max="16384" width="11.42578125" style="81"/>
  </cols>
  <sheetData>
    <row r="1" spans="1:38">
      <c r="A1" s="84">
        <v>1</v>
      </c>
      <c r="B1" s="77"/>
      <c r="C1" s="77"/>
      <c r="D1" s="77"/>
      <c r="E1" s="77"/>
      <c r="F1" s="77"/>
      <c r="G1" s="77"/>
      <c r="H1" s="77"/>
      <c r="I1" s="77"/>
      <c r="J1" s="78"/>
      <c r="K1" s="78"/>
      <c r="L1" s="78"/>
      <c r="M1" s="78"/>
      <c r="N1" s="78"/>
      <c r="O1" s="78"/>
      <c r="P1" s="78"/>
    </row>
    <row r="2" spans="1:38" ht="16.5">
      <c r="A2" s="77"/>
      <c r="B2" s="87" t="s">
        <v>5</v>
      </c>
      <c r="C2" s="79"/>
      <c r="D2" s="114"/>
      <c r="E2" s="114"/>
      <c r="F2" s="114"/>
      <c r="G2" s="114"/>
      <c r="H2" s="114"/>
      <c r="I2" s="77"/>
      <c r="J2" s="78"/>
      <c r="K2" s="78"/>
      <c r="L2" s="78"/>
      <c r="M2" s="78"/>
      <c r="N2" s="78"/>
      <c r="O2" s="78"/>
      <c r="P2" s="78"/>
    </row>
    <row r="3" spans="1:38" ht="23.25">
      <c r="A3" s="77"/>
      <c r="B3" s="88"/>
      <c r="C3" s="77"/>
      <c r="D3" s="77"/>
      <c r="E3" s="77"/>
      <c r="F3" s="77"/>
      <c r="G3" s="77"/>
      <c r="H3" s="77"/>
      <c r="I3" s="77"/>
      <c r="J3" s="78"/>
      <c r="K3" s="86" t="s">
        <v>51</v>
      </c>
      <c r="L3" s="85"/>
      <c r="M3" s="78"/>
      <c r="N3" s="78"/>
      <c r="O3" s="78"/>
      <c r="P3" s="78"/>
    </row>
    <row r="4" spans="1:38" ht="16.5">
      <c r="A4" s="77"/>
      <c r="B4" s="87" t="s">
        <v>6</v>
      </c>
      <c r="C4" s="87"/>
      <c r="D4" s="114" t="str">
        <f>IFERROR(VLOOKUP(D2,AddProjects!A:B,2,0),"")</f>
        <v/>
      </c>
      <c r="E4" s="114"/>
      <c r="F4" s="114"/>
      <c r="G4" s="114"/>
      <c r="H4" s="114"/>
      <c r="I4" s="77"/>
      <c r="J4" s="78"/>
      <c r="K4" s="78"/>
      <c r="L4" s="78"/>
      <c r="M4" s="78"/>
      <c r="N4" s="78"/>
      <c r="O4" s="78"/>
      <c r="P4" s="78"/>
    </row>
    <row r="5" spans="1:38" ht="23.25">
      <c r="A5" s="77"/>
      <c r="B5" s="88"/>
      <c r="C5" s="77"/>
      <c r="D5" s="77"/>
      <c r="E5" s="77"/>
      <c r="F5" s="77"/>
      <c r="G5" s="77"/>
      <c r="H5" s="77"/>
      <c r="I5" s="77"/>
      <c r="J5" s="78"/>
      <c r="K5" s="85"/>
      <c r="L5" s="78"/>
      <c r="M5" s="78"/>
      <c r="N5" s="78"/>
      <c r="O5" s="78"/>
      <c r="P5" s="78"/>
    </row>
    <row r="6" spans="1:38" ht="16.5">
      <c r="A6" s="77"/>
      <c r="B6" s="87" t="s">
        <v>31</v>
      </c>
      <c r="C6" s="79"/>
      <c r="D6" s="114"/>
      <c r="E6" s="114"/>
      <c r="F6" s="114"/>
      <c r="G6" s="114"/>
      <c r="H6" s="114"/>
      <c r="I6" s="77"/>
      <c r="J6" s="78"/>
      <c r="K6" s="78"/>
      <c r="L6" s="78"/>
      <c r="M6" s="78"/>
      <c r="N6" s="78"/>
      <c r="O6" s="78"/>
      <c r="P6" s="78"/>
    </row>
    <row r="7" spans="1:38" ht="23.1" customHeight="1">
      <c r="A7" s="77"/>
      <c r="B7" s="88"/>
      <c r="C7" s="77"/>
      <c r="D7" s="77"/>
      <c r="E7" s="77"/>
      <c r="F7" s="77"/>
      <c r="G7" s="77"/>
      <c r="H7" s="77"/>
      <c r="I7" s="77"/>
      <c r="J7" s="78"/>
      <c r="K7" s="78"/>
      <c r="L7" s="78"/>
      <c r="M7" s="78"/>
      <c r="N7" s="78"/>
      <c r="O7" s="78"/>
      <c r="P7" s="78"/>
    </row>
    <row r="8" spans="1:38" ht="16.5">
      <c r="A8" s="77"/>
      <c r="B8" s="87" t="s">
        <v>32</v>
      </c>
      <c r="C8" s="79"/>
      <c r="D8" s="114"/>
      <c r="E8" s="114"/>
      <c r="F8" s="114"/>
      <c r="G8" s="114"/>
      <c r="H8" s="114"/>
      <c r="I8" s="77"/>
      <c r="J8" s="78"/>
      <c r="K8" s="78"/>
      <c r="L8" s="78"/>
      <c r="M8" s="78"/>
      <c r="N8" s="78"/>
      <c r="O8" s="78"/>
      <c r="P8" s="78"/>
    </row>
    <row r="9" spans="1:38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</row>
    <row r="10" spans="1:38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8"/>
      <c r="K11" s="78"/>
      <c r="L11" s="78"/>
      <c r="M11" s="78"/>
      <c r="N11" s="78"/>
      <c r="O11" s="78"/>
      <c r="P11" s="78"/>
    </row>
    <row r="12" spans="1:38">
      <c r="A12" s="92"/>
      <c r="B12" s="92" t="s">
        <v>42</v>
      </c>
      <c r="C12" s="92"/>
      <c r="D12" s="92" t="s">
        <v>43</v>
      </c>
      <c r="E12" s="92"/>
      <c r="F12" s="92"/>
      <c r="G12" s="92"/>
      <c r="H12" s="92"/>
      <c r="I12" s="94"/>
      <c r="J12" s="95"/>
      <c r="K12" s="95"/>
      <c r="L12" s="95"/>
      <c r="M12" s="95"/>
      <c r="N12" s="95"/>
      <c r="O12" s="95"/>
      <c r="P12" s="95"/>
    </row>
    <row r="13" spans="1:38">
      <c r="A13" s="90" t="s">
        <v>22</v>
      </c>
      <c r="B13" s="91" t="s">
        <v>59</v>
      </c>
      <c r="C13" s="91" t="s">
        <v>60</v>
      </c>
      <c r="D13" s="91" t="s">
        <v>61</v>
      </c>
      <c r="E13" s="91" t="s">
        <v>62</v>
      </c>
      <c r="F13" s="91" t="s">
        <v>63</v>
      </c>
      <c r="G13" s="91" t="s">
        <v>64</v>
      </c>
      <c r="H13" s="93" t="s">
        <v>65</v>
      </c>
      <c r="I13" s="96" t="s">
        <v>41</v>
      </c>
      <c r="J13" s="96" t="s">
        <v>44</v>
      </c>
      <c r="K13" s="96" t="s">
        <v>47</v>
      </c>
      <c r="L13" s="96" t="s">
        <v>46</v>
      </c>
      <c r="M13" s="96" t="s">
        <v>45</v>
      </c>
      <c r="N13" s="96" t="s">
        <v>48</v>
      </c>
      <c r="O13" s="96" t="s">
        <v>49</v>
      </c>
      <c r="P13" s="96" t="s">
        <v>50</v>
      </c>
    </row>
    <row r="14" spans="1:38">
      <c r="A14" s="89" t="s">
        <v>33</v>
      </c>
      <c r="B14"/>
      <c r="C14"/>
      <c r="D14"/>
      <c r="E14"/>
      <c r="F14"/>
      <c r="G14"/>
      <c r="H14"/>
      <c r="I14" s="97">
        <f t="shared" ref="I14:I26" si="0">SUM(B14:H14)</f>
        <v>0</v>
      </c>
      <c r="J14" s="100"/>
      <c r="K14" s="100"/>
      <c r="L14" s="100"/>
      <c r="M14" s="100"/>
      <c r="N14" s="100"/>
      <c r="O14" s="100"/>
      <c r="P14" s="100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</row>
    <row r="15" spans="1:38">
      <c r="A15" s="89" t="s">
        <v>34</v>
      </c>
      <c r="B15"/>
      <c r="C15"/>
      <c r="D15"/>
      <c r="E15"/>
      <c r="F15"/>
      <c r="G15"/>
      <c r="H15"/>
      <c r="I15" s="97">
        <f t="shared" si="0"/>
        <v>0</v>
      </c>
      <c r="J15" s="101"/>
      <c r="K15" s="101"/>
      <c r="L15" s="101"/>
      <c r="M15" s="101"/>
      <c r="N15" s="101"/>
      <c r="O15" s="101"/>
      <c r="P15" s="101"/>
    </row>
    <row r="16" spans="1:38">
      <c r="A16" s="89" t="s">
        <v>35</v>
      </c>
      <c r="B16"/>
      <c r="C16"/>
      <c r="D16"/>
      <c r="E16"/>
      <c r="F16"/>
      <c r="G16"/>
      <c r="H16"/>
      <c r="I16" s="97">
        <f t="shared" si="0"/>
        <v>0</v>
      </c>
      <c r="J16" s="101"/>
      <c r="K16" s="101"/>
      <c r="L16" s="101"/>
      <c r="M16" s="101"/>
      <c r="N16" s="101"/>
      <c r="O16" s="101"/>
      <c r="P16" s="101"/>
    </row>
    <row r="17" spans="1:16">
      <c r="A17" s="89" t="s">
        <v>36</v>
      </c>
      <c r="B17"/>
      <c r="C17">
        <v>6770</v>
      </c>
      <c r="D17"/>
      <c r="E17"/>
      <c r="F17"/>
      <c r="G17"/>
      <c r="H17"/>
      <c r="I17" s="97">
        <f t="shared" si="0"/>
        <v>6770</v>
      </c>
      <c r="J17" s="101"/>
      <c r="K17" s="101"/>
      <c r="L17" s="101"/>
      <c r="M17" s="101"/>
      <c r="N17" s="101"/>
      <c r="O17" s="101"/>
      <c r="P17" s="101"/>
    </row>
    <row r="18" spans="1:16">
      <c r="A18" s="89" t="s">
        <v>58</v>
      </c>
      <c r="B18"/>
      <c r="C18"/>
      <c r="D18"/>
      <c r="E18"/>
      <c r="F18"/>
      <c r="G18"/>
      <c r="H18"/>
      <c r="I18" s="97">
        <f t="shared" si="0"/>
        <v>0</v>
      </c>
      <c r="J18" s="101"/>
      <c r="K18" s="101"/>
      <c r="L18" s="101"/>
      <c r="M18" s="101"/>
      <c r="N18" s="101"/>
      <c r="O18" s="101"/>
      <c r="P18" s="101"/>
    </row>
    <row r="19" spans="1:16">
      <c r="A19" s="89" t="s">
        <v>37</v>
      </c>
      <c r="B19"/>
      <c r="C19"/>
      <c r="D19"/>
      <c r="E19"/>
      <c r="F19"/>
      <c r="G19"/>
      <c r="H19"/>
      <c r="I19" s="97">
        <f t="shared" si="0"/>
        <v>0</v>
      </c>
      <c r="J19" s="101"/>
      <c r="K19" s="101"/>
      <c r="L19" s="101"/>
      <c r="M19" s="101"/>
      <c r="N19" s="101"/>
      <c r="O19" s="101"/>
      <c r="P19" s="101"/>
    </row>
    <row r="20" spans="1:16">
      <c r="A20" s="89" t="s">
        <v>38</v>
      </c>
      <c r="B20"/>
      <c r="C20"/>
      <c r="D20"/>
      <c r="E20"/>
      <c r="F20"/>
      <c r="G20"/>
      <c r="H20"/>
      <c r="I20" s="97">
        <f t="shared" si="0"/>
        <v>0</v>
      </c>
      <c r="J20" s="101"/>
      <c r="K20" s="101"/>
      <c r="L20" s="101"/>
      <c r="M20" s="101"/>
      <c r="N20" s="101"/>
      <c r="O20" s="101"/>
      <c r="P20" s="101"/>
    </row>
    <row r="21" spans="1:16">
      <c r="A21" s="89" t="s">
        <v>39</v>
      </c>
      <c r="B21"/>
      <c r="C21"/>
      <c r="D21"/>
      <c r="E21"/>
      <c r="F21"/>
      <c r="G21"/>
      <c r="H21"/>
      <c r="I21" s="97">
        <f t="shared" si="0"/>
        <v>0</v>
      </c>
      <c r="J21" s="101"/>
      <c r="K21" s="101"/>
      <c r="L21" s="101"/>
      <c r="M21" s="101"/>
      <c r="N21" s="101"/>
      <c r="O21" s="101"/>
      <c r="P21" s="101"/>
    </row>
    <row r="22" spans="1:16">
      <c r="A22" s="89" t="s">
        <v>57</v>
      </c>
      <c r="B22"/>
      <c r="C22"/>
      <c r="D22"/>
      <c r="E22"/>
      <c r="F22"/>
      <c r="G22"/>
      <c r="H22"/>
      <c r="I22" s="97">
        <f t="shared" si="0"/>
        <v>0</v>
      </c>
      <c r="J22" s="101"/>
      <c r="K22" s="101"/>
      <c r="L22" s="101"/>
      <c r="M22" s="101"/>
      <c r="N22" s="101"/>
      <c r="O22" s="101"/>
      <c r="P22" s="101"/>
    </row>
    <row r="23" spans="1:16">
      <c r="A23" s="89" t="s">
        <v>56</v>
      </c>
      <c r="B23"/>
      <c r="C23"/>
      <c r="D23"/>
      <c r="E23"/>
      <c r="F23"/>
      <c r="G23"/>
      <c r="H23"/>
      <c r="I23" s="97">
        <f t="shared" si="0"/>
        <v>0</v>
      </c>
      <c r="J23" s="101"/>
      <c r="K23" s="101"/>
      <c r="L23" s="101"/>
      <c r="M23" s="101"/>
      <c r="N23" s="101"/>
      <c r="O23" s="101"/>
      <c r="P23" s="101"/>
    </row>
    <row r="24" spans="1:16">
      <c r="A24" s="89" t="s">
        <v>40</v>
      </c>
      <c r="B24"/>
      <c r="C24"/>
      <c r="D24"/>
      <c r="E24"/>
      <c r="F24"/>
      <c r="G24"/>
      <c r="H24"/>
      <c r="I24" s="97">
        <f t="shared" si="0"/>
        <v>0</v>
      </c>
      <c r="J24" s="101"/>
      <c r="K24" s="101"/>
      <c r="L24" s="101"/>
      <c r="M24" s="101"/>
      <c r="N24" s="101"/>
      <c r="O24" s="101"/>
      <c r="P24" s="101"/>
    </row>
    <row r="25" spans="1:16">
      <c r="A25" s="89" t="s">
        <v>55</v>
      </c>
      <c r="B25"/>
      <c r="C25"/>
      <c r="D25"/>
      <c r="E25"/>
      <c r="F25"/>
      <c r="G25"/>
      <c r="H25"/>
      <c r="I25" s="97">
        <f t="shared" si="0"/>
        <v>0</v>
      </c>
      <c r="J25" s="101"/>
      <c r="K25" s="101"/>
      <c r="L25" s="101"/>
      <c r="M25" s="101"/>
      <c r="N25" s="101"/>
      <c r="O25" s="101"/>
      <c r="P25" s="101"/>
    </row>
    <row r="26" spans="1:16">
      <c r="A26" s="102"/>
      <c r="B26"/>
      <c r="C26"/>
      <c r="D26"/>
      <c r="E26"/>
      <c r="F26"/>
      <c r="G26"/>
      <c r="H26"/>
      <c r="I26" s="97">
        <f t="shared" si="0"/>
        <v>0</v>
      </c>
      <c r="J26" s="101"/>
      <c r="K26" s="101"/>
      <c r="L26" s="101"/>
      <c r="M26" s="101"/>
      <c r="N26" s="101"/>
      <c r="O26" s="101"/>
      <c r="P26" s="101"/>
    </row>
    <row r="27" spans="1:16" s="83" customFormat="1">
      <c r="A27" s="99" t="s">
        <v>52</v>
      </c>
      <c r="B27" s="98">
        <f>SUM(B14:B25)</f>
        <v>0</v>
      </c>
      <c r="C27" s="98">
        <f t="shared" ref="C27:I27" si="1">SUM(C14:C25)</f>
        <v>6770</v>
      </c>
      <c r="D27" s="98">
        <f t="shared" si="1"/>
        <v>0</v>
      </c>
      <c r="E27" s="98">
        <f t="shared" si="1"/>
        <v>0</v>
      </c>
      <c r="F27" s="98">
        <f t="shared" si="1"/>
        <v>0</v>
      </c>
      <c r="G27" s="98">
        <f t="shared" si="1"/>
        <v>0</v>
      </c>
      <c r="H27" s="98">
        <f t="shared" si="1"/>
        <v>0</v>
      </c>
      <c r="I27" s="98">
        <f t="shared" si="1"/>
        <v>6770</v>
      </c>
      <c r="J27" s="99"/>
      <c r="K27" s="99"/>
      <c r="L27" s="99"/>
      <c r="M27" s="99"/>
      <c r="N27" s="99"/>
      <c r="O27" s="99"/>
      <c r="P27" s="99"/>
    </row>
    <row r="30" spans="1:16">
      <c r="A30" s="103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</row>
    <row r="31" spans="1:16" ht="18">
      <c r="A31" s="105" t="s">
        <v>53</v>
      </c>
      <c r="B31" s="106"/>
      <c r="C31" s="103"/>
      <c r="D31" s="103"/>
      <c r="E31" s="104"/>
      <c r="F31" s="103"/>
      <c r="G31" s="103"/>
      <c r="H31" s="103"/>
      <c r="I31" s="105" t="s">
        <v>54</v>
      </c>
      <c r="J31" s="103"/>
      <c r="K31" s="103"/>
      <c r="L31" s="103"/>
      <c r="M31" s="103"/>
      <c r="N31" s="103"/>
      <c r="O31" s="103"/>
      <c r="P31" s="103"/>
    </row>
    <row r="32" spans="1:16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</sheetData>
  <mergeCells count="4">
    <mergeCell ref="D2:H2"/>
    <mergeCell ref="D4:H4"/>
    <mergeCell ref="D6:H6"/>
    <mergeCell ref="D8:H8"/>
  </mergeCells>
  <conditionalFormatting sqref="J14:AL14">
    <cfRule type="expression" dxfId="0" priority="1">
      <formula>WEEKDAY(J$9,1)=#REF!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_xludf.code">
                <anchor moveWithCells="1" sizeWithCells="1">
                  <from>
                    <xdr:col>4</xdr:col>
                    <xdr:colOff>333375</xdr:colOff>
                    <xdr:row>29</xdr:row>
                    <xdr:rowOff>104775</xdr:rowOff>
                  </from>
                  <to>
                    <xdr:col>7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Fjern">
                <anchor moveWithCells="1" sizeWithCells="1">
                  <from>
                    <xdr:col>10</xdr:col>
                    <xdr:colOff>485775</xdr:colOff>
                    <xdr:row>29</xdr:row>
                    <xdr:rowOff>114300</xdr:rowOff>
                  </from>
                  <to>
                    <xdr:col>14</xdr:col>
                    <xdr:colOff>38100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AddProjects!$A$2:$A$1048576</xm:f>
          </x14:formula1>
          <xm:sqref>D2:H2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9</vt:i4>
      </vt:variant>
      <vt:variant>
        <vt:lpstr>Navngitte områder</vt:lpstr>
      </vt:variant>
      <vt:variant>
        <vt:i4>9</vt:i4>
      </vt:variant>
    </vt:vector>
  </HeadingPairs>
  <TitlesOfParts>
    <vt:vector size="18" baseType="lpstr">
      <vt:lpstr>Ansatt1</vt:lpstr>
      <vt:lpstr>Ansatt2</vt:lpstr>
      <vt:lpstr>Ansatt3</vt:lpstr>
      <vt:lpstr>Ansatt4</vt:lpstr>
      <vt:lpstr>Ansatt5</vt:lpstr>
      <vt:lpstr>Ansatt6</vt:lpstr>
      <vt:lpstr>Ansatt7</vt:lpstr>
      <vt:lpstr>AddProjects</vt:lpstr>
      <vt:lpstr>PrintSum</vt:lpstr>
      <vt:lpstr>AddProjects!Betingelser</vt:lpstr>
      <vt:lpstr>Ansatt1!Utskriftsområde</vt:lpstr>
      <vt:lpstr>Ansatt2!Utskriftsområde</vt:lpstr>
      <vt:lpstr>Ansatt3!Utskriftsområde</vt:lpstr>
      <vt:lpstr>Ansatt4!Utskriftsområde</vt:lpstr>
      <vt:lpstr>Ansatt5!Utskriftsområde</vt:lpstr>
      <vt:lpstr>Ansatt6!Utskriftsområde</vt:lpstr>
      <vt:lpstr>Ansatt7!Utskriftsområde</vt:lpstr>
      <vt:lpstr>PrintSum!Utskriftsområde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Monthly Timesheet Template</dc:title>
  <dc:creator>Vertex42.com</dc:creator>
  <dc:description>(c) 2016 Vertex42 LLC. All Rights Reserved.</dc:description>
  <cp:lastModifiedBy>Brage Sande</cp:lastModifiedBy>
  <cp:lastPrinted>2016-08-23T15:19:45Z</cp:lastPrinted>
  <dcterms:created xsi:type="dcterms:W3CDTF">2003-11-23T07:57:29Z</dcterms:created>
  <dcterms:modified xsi:type="dcterms:W3CDTF">2020-10-21T11:50:20Z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2016 Vertex42 LLC</vt:lpwstr>
  </property>
  <property fmtid="{D5CDD505-2E9C-101B-9397-08002B2CF9AE}" pid="3" name="Version">
    <vt:lpwstr>1.0.1</vt:lpwstr>
  </property>
</Properties>
</file>